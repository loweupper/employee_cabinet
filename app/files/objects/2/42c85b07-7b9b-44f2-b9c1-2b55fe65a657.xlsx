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Руслан Заидов\Desktop\"/>
    </mc:Choice>
  </mc:AlternateContent>
  <xr:revisionPtr revIDLastSave="0" documentId="13_ncr:1_{AFB7F937-01A5-489F-A7F9-CE792EE1D45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ХОЛОДНЫЕ ЗАКУСКИ" sheetId="2" r:id="rId1"/>
    <sheet name="ВТОРЫЕ БЛЮДА" sheetId="3" r:id="rId2"/>
    <sheet name="ПЕРВЫЕ  БЛЮДА" sheetId="4" r:id="rId3"/>
    <sheet name="ГАРНИРЫ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" i="3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75" i="2"/>
  <c r="B7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4" i="2"/>
  <c r="B1" i="2"/>
</calcChain>
</file>

<file path=xl/sharedStrings.xml><?xml version="1.0" encoding="utf-8"?>
<sst xmlns="http://schemas.openxmlformats.org/spreadsheetml/2006/main" count="320" uniqueCount="320">
  <si>
    <t>Салат «Американский» /куры.отв.копч.перец.болг.сал.пек.ог.сол.карт.фри.май/</t>
  </si>
  <si>
    <t>Салат «Бархатный» /кр.пал.карт.кукур.сыр.яйцо.майон/</t>
  </si>
  <si>
    <t>Салат «Блажский» /колб.п/к.карт.ябл.сыр.з/г.ог.св.майон/</t>
  </si>
  <si>
    <t>Салат «Боярский» /филе.кур.морк.по-кор.яйцо.сыр.апел.м/з/</t>
  </si>
  <si>
    <t>Салат «Белый танец» /куры.копч.ог.св.апел.сал.пер.болг.сыр./</t>
  </si>
  <si>
    <t>Салат «Весна» /редис.ог.св.яйцо.лук.зел.сметана/</t>
  </si>
  <si>
    <t>Салат «Весенний» /ветч.карт.ог.св.яйцо.майонез/</t>
  </si>
  <si>
    <t>Винегрет овощной</t>
  </si>
  <si>
    <t>Винегрет с сельдью</t>
  </si>
  <si>
    <t>Салат «Витаминный» /кап.св.морк.пер.болг.пом.св.м/раст/</t>
  </si>
  <si>
    <t>Салат «Вероника» /кр.пал.пом.св.ог.св.кукур.яйцо.майонез/</t>
  </si>
  <si>
    <t>Салат «Волжанка» /колб.п/к.кап.св.з/гор.майонез/</t>
  </si>
  <si>
    <t>Салат «Вечерний» /ветч.сыр.пер.болг.ог.св.сал.пек.майонез</t>
  </si>
  <si>
    <t>Салат «Гурман» /кальмары.яйцо.кукур.морк.рис.ог.св.майон/</t>
  </si>
  <si>
    <t>Салат «Гламур» /куры.копч.ветч.ог.сол.сыр.грибы.чипс.майон</t>
  </si>
  <si>
    <t>Салат «Грация» /ветч.гов.язык.ог.св.ог.сол.з/г.яйцо.майонез/</t>
  </si>
  <si>
    <t>Салат «Душечка» /кап.св.свекла.морк.яблоки.масло.раст./</t>
  </si>
  <si>
    <t>Салат из дайкона с морковью по-корейски</t>
  </si>
  <si>
    <t>Салат из дайкона с капустой провансаль</t>
  </si>
  <si>
    <t>Салат из дайкона с морской капустой</t>
  </si>
  <si>
    <t>Салат из редиса /редис.лук.зел.яйцо.сметана/</t>
  </si>
  <si>
    <t>Салат из дайкона с имбирем</t>
  </si>
  <si>
    <t>Салат «Ералаш» /сал.пек.ог.св.морк.по-кор.ябл.кукур.м/раст/</t>
  </si>
  <si>
    <t>Салат «Золотой гребешок» /курица.грибы.ог.св.морк.з/г.майо</t>
  </si>
  <si>
    <t>Салат «Закарпатский» /кур.карт.яйцо.ог.св.сыр.ябл.з/г.майон/</t>
  </si>
  <si>
    <t>Салат «Зенит» /кап.св.пом.св.ог.св.пер.болг.масло.раст./</t>
  </si>
  <si>
    <t>Салат «Загадка» /рыба.рис.ябл.яйцо.сыр.майонез /</t>
  </si>
  <si>
    <t>Салат из зел. лука с яйцом со сметаной</t>
  </si>
  <si>
    <t>Салат «Испаночка» /сал.пек.пом.св.ог.св.кукур.маслины.м/рас</t>
  </si>
  <si>
    <t>Салат «Купеческий» /ветч.морк.по-кор.яйцо.сыр.майонез /</t>
  </si>
  <si>
    <t>Салат «Коктейль из ветчины и свежих огурцов»</t>
  </si>
  <si>
    <t>Салат «Коктейль из печени и свежих огурцов»</t>
  </si>
  <si>
    <t>Салат «Каприз» /филе.кур.морк.по-кор.пер.болг.яйцо.майоне</t>
  </si>
  <si>
    <t>Салат «Королевский» /печень.морк.грибы.ог.сол.майонез /</t>
  </si>
  <si>
    <t>Салат картофельный с кальмарами</t>
  </si>
  <si>
    <t>Салат «Карри» /филе.кур.рис.кукур.ог.св.майонез /</t>
  </si>
  <si>
    <t>Салат «Колизей» /кальмары.сыр.яйцо.майонез /</t>
  </si>
  <si>
    <t>Салат «Летний» /ог.св.пом.св.лук.сметана /</t>
  </si>
  <si>
    <t>Салат «Мясной» /ветч.карт.ог.сол.майонез /</t>
  </si>
  <si>
    <t>Салат «Мимоза» /конс.рыбн.яйцо.морк.карт.майонез /</t>
  </si>
  <si>
    <t>Салат «Мираж» /кр.пал.кап.св.кукур.морк.майонез /</t>
  </si>
  <si>
    <t>Салат «Морской» /кальмары.рис.ог.св.яйцо.майонез /</t>
  </si>
  <si>
    <t>Салат «Морская фантазия» /кальмары.карт.ог.св.з/г.майонез /</t>
  </si>
  <si>
    <t>Салат из моркови по-корейски с морской капустой</t>
  </si>
  <si>
    <t>Салат из моркови по-корейски с капустой провансаль</t>
  </si>
  <si>
    <t>Салат из моркови по-корейски с капустой квашеной</t>
  </si>
  <si>
    <t>Салат из моркови по-корейски с имбирем</t>
  </si>
  <si>
    <t>Салат из имбиря с капустой провансаль</t>
  </si>
  <si>
    <t>Салат из свежей капусты с клюквой или с брусникой</t>
  </si>
  <si>
    <t>Салат из свеклы с сыром и чесноком</t>
  </si>
  <si>
    <t>Салат «Нежность» /филе.кур.яйцо.черн.ор.гр.ог.св.майонез /</t>
  </si>
  <si>
    <t>Салат «Новинка» /кап.св.ог.св.морк.масло.раст. /</t>
  </si>
  <si>
    <t>Салат «Оливье» /филе.кур..карт.яйцо.ог.сол.морк.з/г.майонез</t>
  </si>
  <si>
    <t>Салат «Осенний» /пом.перец.сельдер.ябл.з/г.морковь/</t>
  </si>
  <si>
    <t>Салат «Пекинский» /сал.ог.св.пом.св.пер.болг.майонез/</t>
  </si>
  <si>
    <t>Салат «Печеночный» /печень.яйцо.морк.лук.репч.майонез /</t>
  </si>
  <si>
    <t>Салат «Пражский» /свин.ог.сол.пер.болг.ябл.майонез</t>
  </si>
  <si>
    <t>Салат «Пестрый» /пом.св.кукур.фасоль.сал.пек.пер.болг.м/р /</t>
  </si>
  <si>
    <t>Салат «Ретро» /язык.ог.сол.сыр.яйцо.пер.болг.майонез /</t>
  </si>
  <si>
    <t>Салат рыбный /рыба.карт.ог.сол.яйцо.з/гор.майонез /</t>
  </si>
  <si>
    <t>Салат «Андалузский» /ог.св.пом.св.пер.болг.сал.пек.маслины.масло.растительное/</t>
  </si>
  <si>
    <t>Сельдь с луком</t>
  </si>
  <si>
    <t>Сельдь под шубой</t>
  </si>
  <si>
    <t>Селедочка под лисьей шубкой (сел.грибы.карт.яйцо.морк.м/з)</t>
  </si>
  <si>
    <t>Горбуша под маринадом</t>
  </si>
  <si>
    <t>Треска под маринадом,  пикша</t>
  </si>
  <si>
    <t>Минтай под маринадом</t>
  </si>
  <si>
    <t>Салат «Свежесть» /кр.пал.кукур.ог.св.яйцо.кап.св.майонез /</t>
  </si>
  <si>
    <t>Салат «Славянский» /кап.св.пер.болг.масло.растит. /</t>
  </si>
  <si>
    <t>Салат «Светофор» /свекла.морк.редис.з/г.з/лук.м/р/</t>
  </si>
  <si>
    <t>Салат «Фантазия» /краб.пал.фасоль.ог.св.анан.маслин.майон</t>
  </si>
  <si>
    <t>Салат «Фа-соль-ка» /фасоль.ог.св.сыр.кириеш.чеснок.майонез</t>
  </si>
  <si>
    <t>Салат «Цезарь с курицей» /филе.кур.сал.пек.яйцо.сыр.пом.св.</t>
  </si>
  <si>
    <t>Салат «Чудесница» /ветч.фасоль.пом.св.сыр.майонез /</t>
  </si>
  <si>
    <t>Салат «Чародейка» /свекла.курага.чернослив.ор.гр.сметана /</t>
  </si>
  <si>
    <t>Салат «Шахтерский» /печень.ог.сол.лук.морк.майонез/</t>
  </si>
  <si>
    <t>Салат «Шотландский» /рыба.ог.сол.пер.болг.рис.кукур.майон</t>
  </si>
  <si>
    <t>Салат «Ярославна» (ветч.ог.св.пом.св.ябл.карт.кап.майонез)</t>
  </si>
  <si>
    <t>Баклажаны жареные с майонезом, с чесноком</t>
  </si>
  <si>
    <t>Яйцо под майонезом с морковью по-корейски</t>
  </si>
  <si>
    <t>Говядина «Смак» / гов.пер.болг.пом.св.сыр.майонез /</t>
  </si>
  <si>
    <t>Говядина в кисло-сладком соусе</t>
  </si>
  <si>
    <t>Говядина тушеная с яблоками</t>
  </si>
  <si>
    <t>Говядина  тушеная с черносливом</t>
  </si>
  <si>
    <t>Говядина тушеная с грушами в медово-пивном соусе</t>
  </si>
  <si>
    <t>Лангет</t>
  </si>
  <si>
    <t>Гуляш</t>
  </si>
  <si>
    <t>Говядина отварная</t>
  </si>
  <si>
    <t>Мясо по-французски</t>
  </si>
  <si>
    <t>Мясо по-российски</t>
  </si>
  <si>
    <t>Мясо  шпигованное /говядина/</t>
  </si>
  <si>
    <t>Говядина тушеная  с овощами(пом.св.пер.болг.лук)</t>
  </si>
  <si>
    <t>Говядина  тушеная  в арах.соусе /вырезка /</t>
  </si>
  <si>
    <t>Язык отварной</t>
  </si>
  <si>
    <t>Язык запеченный /язык.пом.св.сыр.пассер.овощн.майонез /</t>
  </si>
  <si>
    <t xml:space="preserve">Плов </t>
  </si>
  <si>
    <t>Азу по-татарски  /с картофелем /</t>
  </si>
  <si>
    <t>Бефстроганов</t>
  </si>
  <si>
    <t>Перец  фаршированный  мясом и рисом</t>
  </si>
  <si>
    <t>Спагетти</t>
  </si>
  <si>
    <t>Спагетти с морепродуктами</t>
  </si>
  <si>
    <t>Биточки  по-селянски</t>
  </si>
  <si>
    <t>Котлеты рубленые</t>
  </si>
  <si>
    <t>Биточки рубленые</t>
  </si>
  <si>
    <t>Тефтели с соусом</t>
  </si>
  <si>
    <t>Колбаски студенческие</t>
  </si>
  <si>
    <t>Шницель натуральный рубленый</t>
  </si>
  <si>
    <t>Яичные рулетики с куриным фаршем /ог.сол./</t>
  </si>
  <si>
    <t>Бифштекс натуральный рубленый</t>
  </si>
  <si>
    <t>Бифштекс с яйцом</t>
  </si>
  <si>
    <t>Бифштекс   пикантный</t>
  </si>
  <si>
    <t>Голубцы овощные</t>
  </si>
  <si>
    <t>Голубцы с мясом и рисом</t>
  </si>
  <si>
    <t>Голубцы Любительские со сметаной</t>
  </si>
  <si>
    <t>Голубцы вьетнамские со сметаной</t>
  </si>
  <si>
    <t>Голубцы овощные с грибами в соусе</t>
  </si>
  <si>
    <t>Пельмени со сметаной или с маслом</t>
  </si>
  <si>
    <t>Пельмени с бульоном</t>
  </si>
  <si>
    <t>Фрикадельки в соусе</t>
  </si>
  <si>
    <t>Зразы рубленые с яйцом и луком</t>
  </si>
  <si>
    <t xml:space="preserve">Жаркое по-домашнему </t>
  </si>
  <si>
    <t>Почки жареные с луком и помидорами</t>
  </si>
  <si>
    <t>Почки жареные в сливочном соусе</t>
  </si>
  <si>
    <t>Печень по-строгановски</t>
  </si>
  <si>
    <t>Печень тушеная с яблоками и изюмом</t>
  </si>
  <si>
    <t>Печень тушеная с грибами и майонезом</t>
  </si>
  <si>
    <t>Печень тушеная с луком и майонезом</t>
  </si>
  <si>
    <t>Печень жареная с луком</t>
  </si>
  <si>
    <t>Печень тушеная с луком /порционная/</t>
  </si>
  <si>
    <t>Оладьи из печени</t>
  </si>
  <si>
    <t>Сердце в соусе</t>
  </si>
  <si>
    <t>Сердце жареное с луком</t>
  </si>
  <si>
    <t>Легкое жареное с луком</t>
  </si>
  <si>
    <t>Свинина по-баварски /свин.ог.сол.пом.св.сыр.лук.майонез /</t>
  </si>
  <si>
    <t>Свинина «Сокроме» /свин.колб.п/к.сыр.лук.пассер.майонез /</t>
  </si>
  <si>
    <t>Свинина с косточкой</t>
  </si>
  <si>
    <t>Свинина «Деликатесная» /свинина.яйцо.майонез /</t>
  </si>
  <si>
    <t>Свинина по-дежонски /вин.грибы.пер.болг.кукур. /</t>
  </si>
  <si>
    <t>Свинина запеченная с вялеными помидорами</t>
  </si>
  <si>
    <t>Буженина с соусом</t>
  </si>
  <si>
    <t>Эскалоп, Эскалоп с луком</t>
  </si>
  <si>
    <t>Эскалоп с луком  и перцем болгарским</t>
  </si>
  <si>
    <t>Эскалоп с помидорами</t>
  </si>
  <si>
    <t>Поджарка</t>
  </si>
  <si>
    <t>Курземес  строгановский /свин.лук.ог.сол.сметана /</t>
  </si>
  <si>
    <t>Свинина, тушенная  с  ананасом</t>
  </si>
  <si>
    <t>Свинина жареная с грибами и луком</t>
  </si>
  <si>
    <t>Свинина жареная с перцем</t>
  </si>
  <si>
    <t>Свинина жареная с луком</t>
  </si>
  <si>
    <t>Свинина жареная  /крупным куском/</t>
  </si>
  <si>
    <t>Трубочки с люля (фарш.мясн.грибы.сл.тесто.вяленая клюква)</t>
  </si>
  <si>
    <t>Куры, тушеные с ананасом</t>
  </si>
  <si>
    <t>Куры, тушеные с грибами</t>
  </si>
  <si>
    <t>Курица по-венгерски</t>
  </si>
  <si>
    <t>Куриная ножка «Ряба»</t>
  </si>
  <si>
    <t>Курица «Мираж» /филе.кур.яйцо.арахис.кукур. /</t>
  </si>
  <si>
    <t>Куры в ореховой заливке (орех.арахис.чеснок.пассер.овощная)</t>
  </si>
  <si>
    <t>Куры жареные</t>
  </si>
  <si>
    <t>Филе куриное в соусе терияки</t>
  </si>
  <si>
    <t xml:space="preserve">Филе куриное запеченное с маслинами                                               </t>
  </si>
  <si>
    <t>Филе по-испански /филе.кур.груд.копч.ер.болг.маслины.чеснок</t>
  </si>
  <si>
    <t>Филе по-восточному /филе.кур.пер.болг.кетчуп.чеснок.базилик</t>
  </si>
  <si>
    <t>Филе по-мексикански /филе.кур.пер.болг.кукур.сыр.майонез /</t>
  </si>
  <si>
    <t>Филе куриное тушеное с имбирем и грибами</t>
  </si>
  <si>
    <t>Филе куриное  в  сливочном  соусе</t>
  </si>
  <si>
    <t>Филе куриное с грибами</t>
  </si>
  <si>
    <t>Филе куриное с фасолью</t>
  </si>
  <si>
    <t>Филе куриное с ананасом</t>
  </si>
  <si>
    <t>Куриные крылышки жареные</t>
  </si>
  <si>
    <t>Куриные крылышки в медовой заливке</t>
  </si>
  <si>
    <t>Цыплята-табака</t>
  </si>
  <si>
    <t>Шницель Столичный</t>
  </si>
  <si>
    <t>Чахохбили</t>
  </si>
  <si>
    <t>Чахохбили из филе кур</t>
  </si>
  <si>
    <t>Желудки куриные тушеные с луком</t>
  </si>
  <si>
    <t>Печень куриная тушеная  с луком</t>
  </si>
  <si>
    <t>Сердечки куриные тушеные  с луком</t>
  </si>
  <si>
    <t>Печень куриная с грибами</t>
  </si>
  <si>
    <t>Паприкаш (субпрод.куриные.лук.пер.болг.)</t>
  </si>
  <si>
    <t>Котлеты  куриные</t>
  </si>
  <si>
    <t>Котлеты куриные фаршированные маслом</t>
  </si>
  <si>
    <t>Горбуша  тушеная с овощами / филе /</t>
  </si>
  <si>
    <t>Горбуша, тушенная в сметанном соусе с овощами / филе /</t>
  </si>
  <si>
    <t>Горбуша, тушеная с  помидорами и луком</t>
  </si>
  <si>
    <t>Горбуша, тушеная  с луком и майонезом</t>
  </si>
  <si>
    <t>Горбуша запеченная  с сыром,  помид. и майонезом</t>
  </si>
  <si>
    <t>Горбуша под польским соусом</t>
  </si>
  <si>
    <t>Пикша, треска, минтай запеченная с/с ,с/м,помидор</t>
  </si>
  <si>
    <t>Пикша тушеная с овощами</t>
  </si>
  <si>
    <t>Горбуша жареная</t>
  </si>
  <si>
    <t>Горбуша жареная /филе/</t>
  </si>
  <si>
    <t>Горбуша жареная с луком</t>
  </si>
  <si>
    <t>Кета жареная</t>
  </si>
  <si>
    <t>Скумбрия жареная</t>
  </si>
  <si>
    <t>Скумбрия жареная с луком</t>
  </si>
  <si>
    <t xml:space="preserve">Терпуг жареный                      </t>
  </si>
  <si>
    <t>Пикша, Треска, Хек жареная</t>
  </si>
  <si>
    <t xml:space="preserve">Камбала жареная         </t>
  </si>
  <si>
    <t>Минтай жареный</t>
  </si>
  <si>
    <t>Скумбрия припущенная с луком</t>
  </si>
  <si>
    <t>Кальмары жареные с луком</t>
  </si>
  <si>
    <t>Котлеты рыбные</t>
  </si>
  <si>
    <t>Поджарка из рыбы</t>
  </si>
  <si>
    <t>Баклажаны запеченные с куриным филе</t>
  </si>
  <si>
    <t>Баклажаны фаршированные со сметаной</t>
  </si>
  <si>
    <t>Перец фаршированный мясом и рисом со сметаной</t>
  </si>
  <si>
    <t>Запеканка творожная со сметаной / с изюмом или с курагой/</t>
  </si>
  <si>
    <t>Сырники из творога со сметаной или со сг.молоком</t>
  </si>
  <si>
    <t>Оладьи с изюмом со сметаной или со сг.молоком</t>
  </si>
  <si>
    <t>Оладьи из кабачков со сметаной</t>
  </si>
  <si>
    <t>Манник тыквенный со сметаной</t>
  </si>
  <si>
    <t>Блинчики  со сметаной или со сг.молоком</t>
  </si>
  <si>
    <t>Блинчики с творогом со сметаной  или со сг.молоком</t>
  </si>
  <si>
    <t xml:space="preserve">Блинчики с яблоками со сметаной или со сг.молоком                                      </t>
  </si>
  <si>
    <t>Блинчики с мясным фаршем со сметаной или с маслом</t>
  </si>
  <si>
    <t>Мясо в хрусте</t>
  </si>
  <si>
    <t>Манты со сметаной</t>
  </si>
  <si>
    <t>Лазанья (фарш.мясн.лук.сыр. тесто)</t>
  </si>
  <si>
    <t>Каша молочная рисовая с маслом</t>
  </si>
  <si>
    <t>Вареники с  картоф. и луком  со сметаной</t>
  </si>
  <si>
    <t>Хуран  кукли со сметаной</t>
  </si>
  <si>
    <t>РЫБНЫЕ</t>
  </si>
  <si>
    <t>Солянка сборная мясная со сметаной</t>
  </si>
  <si>
    <t>Боз-баш ( говяд.карт.лук.морк.пом.св.пер.болг.)</t>
  </si>
  <si>
    <t>Борщ из св.капусты с мясом со сметаной</t>
  </si>
  <si>
    <t>Борщ Сибирский с фасолью с мясом со сметаной</t>
  </si>
  <si>
    <t>Дюч-шит (курица.картоф.морк.пер.болг.лук)</t>
  </si>
  <si>
    <t>Какай-шурпи</t>
  </si>
  <si>
    <t>Лагман (гов.лапша.карт.пер.болг.пом.св.лук.морк.)</t>
  </si>
  <si>
    <t>Мампар (фарш.мясн.пер.болг.пом.св.ог.св.яйцо.макар.сметана)</t>
  </si>
  <si>
    <t>Окрошка с колбасой со сметаной</t>
  </si>
  <si>
    <t>Пельмени с бульоном со сметаной</t>
  </si>
  <si>
    <t>Рассольник ленинградский с мясом со сметаной</t>
  </si>
  <si>
    <t>Рассольник домашний с мясом со сметаной</t>
  </si>
  <si>
    <t>Суп-харчо</t>
  </si>
  <si>
    <t>Суп картофельный с зел.горошком и мясными фрикадельками</t>
  </si>
  <si>
    <t>Суп картофельный с макаронами с курицей</t>
  </si>
  <si>
    <t>Суп картофельный с грибами</t>
  </si>
  <si>
    <t>Суп крестьянский с крупой с мясом со сметаной</t>
  </si>
  <si>
    <t>Суп картофельный с крупой с курицей</t>
  </si>
  <si>
    <t>Суп картофельный с рыбой</t>
  </si>
  <si>
    <t>Суп картофельный гороховый с мясом</t>
  </si>
  <si>
    <t>Суп картофельный с фасолью с мясом</t>
  </si>
  <si>
    <t>Суп - пюре с гренками</t>
  </si>
  <si>
    <t>Суп охотничий (субпродукты курин.картоф лук,морковь)</t>
  </si>
  <si>
    <t>Суп Чили (фарш мясн.фасоль груд.п/к.палоч.сл.теста)</t>
  </si>
  <si>
    <t>Чорбэ (курица.омлет.з/гор.лук.морковь) /омлет 421,00</t>
  </si>
  <si>
    <t>Шурпа (гов.карт.лук.морк.пер.болг.пом.св.)</t>
  </si>
  <si>
    <t>Щи из св.капусты с мясом со сметаной</t>
  </si>
  <si>
    <t>Щи европейские с колбасой со сметаной</t>
  </si>
  <si>
    <t>Хашлама</t>
  </si>
  <si>
    <t>Пюре картофельное</t>
  </si>
  <si>
    <t>Капуста св. тушеная</t>
  </si>
  <si>
    <t>Картофель жареный из сырого</t>
  </si>
  <si>
    <t>Овощи паровые</t>
  </si>
  <si>
    <t>Рагу овощное</t>
  </si>
  <si>
    <t>Фасоль отварная с луком</t>
  </si>
  <si>
    <t>Пюре из гороха</t>
  </si>
  <si>
    <t>Макароны отварные</t>
  </si>
  <si>
    <t>Макароны «Мозаика»  / перец.болг.кукур. /</t>
  </si>
  <si>
    <t>Рис отварной</t>
  </si>
  <si>
    <t>Рис «Весна» /кукур. или  з/гор.морк.пассер./</t>
  </si>
  <si>
    <t>Каша гречневая</t>
  </si>
  <si>
    <t>Каша гречневая с грибами</t>
  </si>
  <si>
    <t>Каша  пшенная</t>
  </si>
  <si>
    <t>Каша перловая</t>
  </si>
  <si>
    <t>Каша пшеничная «булгур»</t>
  </si>
  <si>
    <t>Кабачки тушеные в сметанном соусе</t>
  </si>
  <si>
    <t>Салат из дайкона с капустой квашеной</t>
  </si>
  <si>
    <t>Салат из дайкона /ог.св.яйцо.сметана/</t>
  </si>
  <si>
    <t>Салат «Крабик» /кр.пал.рис.кукур.ог.сол.яйцо.майонез /</t>
  </si>
  <si>
    <t>Салат из морской капусты с капустой провансаль</t>
  </si>
  <si>
    <t>Салат из морской капусты с квашеной капустой</t>
  </si>
  <si>
    <t>Салат из квашеной капусты с капустой провансаль</t>
  </si>
  <si>
    <t>Салат из квашеной капусты с зел.луком</t>
  </si>
  <si>
    <t>Салат из имбиря с морской капустой</t>
  </si>
  <si>
    <t xml:space="preserve">с вяленой клюквой         </t>
  </si>
  <si>
    <t>Салат из свеклы c черносливом со сметаной</t>
  </si>
  <si>
    <t>Салат из свеклы c яблоками со сметаной</t>
  </si>
  <si>
    <t>Салат «Русский» /(гов. пом.св.кукур. лук.пассер.сыр.м/з)</t>
  </si>
  <si>
    <t>Салат «Изюминка» /(филе.кур.сал.изюм.апел.ор.гр.пер.болг.)</t>
  </si>
  <si>
    <t>Салат из дайкона со сметаной или с маслом раст. или с м.з</t>
  </si>
  <si>
    <t>Кабачки жареные с майонезом, с чесноком</t>
  </si>
  <si>
    <t>Яйцо под майонезом с капустой провансаль</t>
  </si>
  <si>
    <t>Яйцо под майонезом с капустой квашеной</t>
  </si>
  <si>
    <t>Ромштекс /свинина/</t>
  </si>
  <si>
    <t>Мясо фаршированное ветчиной /свинина /</t>
  </si>
  <si>
    <t>Мясо по-фламански /гов.пиво.груд.копч.  / вырезка/</t>
  </si>
  <si>
    <t xml:space="preserve">Яичные рулетики с куриным фаршем /пер.болг./                       </t>
  </si>
  <si>
    <t>Бифштекс с яйцом с луком</t>
  </si>
  <si>
    <t>Бифштекс с яйцом луком и помидорами</t>
  </si>
  <si>
    <t>Бифштекс славянский</t>
  </si>
  <si>
    <t>Зразы рубленые с грибами и луком</t>
  </si>
  <si>
    <t>Запеканка картофельная с мясом</t>
  </si>
  <si>
    <t>Селянка домашняя с картофелем</t>
  </si>
  <si>
    <t>Свинина, запеченная с грибами помидорами</t>
  </si>
  <si>
    <t>Свинина, запеченная с баклажанами</t>
  </si>
  <si>
    <t>Свинина, запеченная с яблоками</t>
  </si>
  <si>
    <t>Свинина, запеченная с овощами</t>
  </si>
  <si>
    <t>Свинина, запеченная с фасолью</t>
  </si>
  <si>
    <t>Свинина, тушенная  с  кукурузой</t>
  </si>
  <si>
    <t>Свинина, тушенная  с  баклажанами</t>
  </si>
  <si>
    <t>Куры, тушеные с грибами в сметанном соусе</t>
  </si>
  <si>
    <t>Куры, тушеные с грибами в сметано-грибном соусе</t>
  </si>
  <si>
    <t>Куры, тушеные с грибами в томатном соусе</t>
  </si>
  <si>
    <t>Куры, тушеные с грибами в сырном соусе</t>
  </si>
  <si>
    <t>Филе куриное тушеное с помидорами и перцем</t>
  </si>
  <si>
    <t>Пикша тушеная с помид. с луком</t>
  </si>
  <si>
    <t>Пикша тушеная в сметанном соусе</t>
  </si>
  <si>
    <t>Пикша тушеная с луком си майонезом</t>
  </si>
  <si>
    <t>Каша молочная пшенная,  пшеничная с маслом</t>
  </si>
  <si>
    <t>Каша молочная овсяная</t>
  </si>
  <si>
    <t>Каша молочная пшенная с тыквой с маслом</t>
  </si>
  <si>
    <t>Вареники с  творогом со сметаной</t>
  </si>
  <si>
    <t xml:space="preserve">Блинчики с сыром с семгой                            </t>
  </si>
  <si>
    <t>Блинчики с повидлом</t>
  </si>
  <si>
    <t xml:space="preserve">Блинчики с маслом     </t>
  </si>
  <si>
    <t xml:space="preserve">Суп картофельный с клецками с курицей     </t>
  </si>
  <si>
    <t xml:space="preserve">Картофель по-крестьянски        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</si>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</sst>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7055-8E2B-41FE-99D7-B9CDE84F047C}">
  <dimension ref="A1:C98"/>
  <sheetViews>
    <sheetView topLeftCell="A63" workbookViewId="0">
      <selection activeCell="H74" sqref="H74"/>
    </sheetView>
  </sheetViews>
  <sheetFormatPr defaultRowHeight="14.4" x14ac:dyDescent="0.3"/>
  <cols>
    <col min="1" max="1" width="75.21875" bestFit="1" customWidth="1"/>
    <col min="2" max="2" width="54.6640625" bestFit="1" customWidth="1"/>
  </cols>
  <sheetData>
    <row r="1" spans="1:3" ht="15" thickBot="1" x14ac:dyDescent="0.35">
      <c r="A1" s="3" t="s">
        <v>60</v>
      </c>
      <c r="B1" t="str">
        <f>IF(ISERROR(FIND("/",A1)),A1,LEFTB(A1,FIND("/",A1)-1))</f>
        <v xml:space="preserve">Салат «Андалузский» </v>
      </c>
      <c r="C1" s="6">
        <v>58</v>
      </c>
    </row>
    <row r="2" spans="1:3" ht="15" thickBot="1" x14ac:dyDescent="0.35">
      <c r="A2" s="4" t="s">
        <v>0</v>
      </c>
      <c r="B2" t="str">
        <f t="shared" ref="B2:B65" si="0">IF(ISERROR(FIND("/",A2)),A2,LEFTB(A2,FIND("/",A2)-1))</f>
        <v xml:space="preserve">Салат «Американский» </v>
      </c>
      <c r="C2" s="6">
        <v>84</v>
      </c>
    </row>
    <row r="3" spans="1:3" ht="15" thickBot="1" x14ac:dyDescent="0.35">
      <c r="A3" s="4" t="s">
        <v>1</v>
      </c>
      <c r="B3" t="str">
        <f t="shared" si="0"/>
        <v xml:space="preserve">Салат «Бархатный» </v>
      </c>
      <c r="C3" s="6">
        <v>71</v>
      </c>
    </row>
    <row r="4" spans="1:3" ht="15" thickBot="1" x14ac:dyDescent="0.35">
      <c r="A4" s="4" t="s">
        <v>2</v>
      </c>
      <c r="B4" t="str">
        <f t="shared" si="0"/>
        <v xml:space="preserve">Салат «Блажский» </v>
      </c>
      <c r="C4" s="6">
        <v>56</v>
      </c>
    </row>
    <row r="5" spans="1:3" ht="15" thickBot="1" x14ac:dyDescent="0.35">
      <c r="A5" s="4" t="s">
        <v>3</v>
      </c>
      <c r="B5" t="str">
        <f t="shared" si="0"/>
        <v xml:space="preserve">Салат «Боярский» </v>
      </c>
      <c r="C5" s="6">
        <v>82</v>
      </c>
    </row>
    <row r="6" spans="1:3" ht="15" thickBot="1" x14ac:dyDescent="0.35">
      <c r="A6" s="4" t="s">
        <v>4</v>
      </c>
      <c r="B6" t="str">
        <f t="shared" si="0"/>
        <v xml:space="preserve">Салат «Белый танец» </v>
      </c>
      <c r="C6" s="6">
        <v>96</v>
      </c>
    </row>
    <row r="7" spans="1:3" ht="15" thickBot="1" x14ac:dyDescent="0.35">
      <c r="A7" s="4" t="s">
        <v>5</v>
      </c>
      <c r="B7" t="str">
        <f t="shared" si="0"/>
        <v xml:space="preserve">Салат «Весна» </v>
      </c>
      <c r="C7" s="6">
        <v>61</v>
      </c>
    </row>
    <row r="8" spans="1:3" ht="15" thickBot="1" x14ac:dyDescent="0.35">
      <c r="A8" s="4" t="s">
        <v>6</v>
      </c>
      <c r="B8" t="str">
        <f t="shared" si="0"/>
        <v xml:space="preserve">Салат «Весенний» </v>
      </c>
      <c r="C8" s="6">
        <v>55</v>
      </c>
    </row>
    <row r="9" spans="1:3" ht="15" thickBot="1" x14ac:dyDescent="0.35">
      <c r="A9" s="4" t="s">
        <v>7</v>
      </c>
      <c r="B9" t="str">
        <f t="shared" si="0"/>
        <v>Винегрет овощной</v>
      </c>
      <c r="C9" s="6">
        <v>35</v>
      </c>
    </row>
    <row r="10" spans="1:3" ht="15" thickBot="1" x14ac:dyDescent="0.35">
      <c r="A10" s="4" t="s">
        <v>8</v>
      </c>
      <c r="B10" t="str">
        <f t="shared" si="0"/>
        <v>Винегрет с сельдью</v>
      </c>
      <c r="C10" s="6">
        <v>51</v>
      </c>
    </row>
    <row r="11" spans="1:3" ht="15" thickBot="1" x14ac:dyDescent="0.35">
      <c r="A11" s="4" t="s">
        <v>9</v>
      </c>
      <c r="B11" t="str">
        <f t="shared" si="0"/>
        <v xml:space="preserve">Салат «Витаминный» </v>
      </c>
      <c r="C11" s="6">
        <v>39</v>
      </c>
    </row>
    <row r="12" spans="1:3" ht="15" thickBot="1" x14ac:dyDescent="0.35">
      <c r="A12" s="4" t="s">
        <v>10</v>
      </c>
      <c r="B12" t="str">
        <f t="shared" si="0"/>
        <v xml:space="preserve">Салат «Вероника» </v>
      </c>
      <c r="C12" s="6">
        <v>62</v>
      </c>
    </row>
    <row r="13" spans="1:3" ht="15" thickBot="1" x14ac:dyDescent="0.35">
      <c r="A13" s="4" t="s">
        <v>11</v>
      </c>
      <c r="B13" t="str">
        <f t="shared" si="0"/>
        <v xml:space="preserve">Салат «Волжанка» </v>
      </c>
      <c r="C13" s="6">
        <v>49</v>
      </c>
    </row>
    <row r="14" spans="1:3" ht="15" thickBot="1" x14ac:dyDescent="0.35">
      <c r="A14" s="4" t="s">
        <v>12</v>
      </c>
      <c r="B14" t="str">
        <f t="shared" si="0"/>
        <v xml:space="preserve">Салат «Вечерний» </v>
      </c>
      <c r="C14" s="6">
        <v>99</v>
      </c>
    </row>
    <row r="15" spans="1:3" ht="15" thickBot="1" x14ac:dyDescent="0.35">
      <c r="A15" s="4" t="s">
        <v>13</v>
      </c>
      <c r="B15" t="str">
        <f t="shared" si="0"/>
        <v xml:space="preserve">Салат «Гурман» </v>
      </c>
      <c r="C15" s="6">
        <v>93</v>
      </c>
    </row>
    <row r="16" spans="1:3" ht="15" thickBot="1" x14ac:dyDescent="0.35">
      <c r="A16" s="4" t="s">
        <v>14</v>
      </c>
      <c r="B16" t="str">
        <f t="shared" si="0"/>
        <v xml:space="preserve">Салат «Гламур» </v>
      </c>
      <c r="C16" s="6">
        <v>118</v>
      </c>
    </row>
    <row r="17" spans="1:3" ht="15" thickBot="1" x14ac:dyDescent="0.35">
      <c r="A17" s="4" t="s">
        <v>15</v>
      </c>
      <c r="B17" t="str">
        <f t="shared" si="0"/>
        <v xml:space="preserve">Салат «Грация» </v>
      </c>
      <c r="C17" s="6">
        <v>96</v>
      </c>
    </row>
    <row r="18" spans="1:3" ht="15" thickBot="1" x14ac:dyDescent="0.35">
      <c r="A18" s="4" t="s">
        <v>16</v>
      </c>
      <c r="B18" t="str">
        <f t="shared" si="0"/>
        <v xml:space="preserve">Салат «Душечка» </v>
      </c>
      <c r="C18" s="6">
        <v>30</v>
      </c>
    </row>
    <row r="19" spans="1:3" ht="15" thickBot="1" x14ac:dyDescent="0.35">
      <c r="A19" s="4" t="s">
        <v>17</v>
      </c>
      <c r="B19" t="str">
        <f t="shared" si="0"/>
        <v>Салат из дайкона с морковью по-корейски</v>
      </c>
      <c r="C19" s="6">
        <v>48</v>
      </c>
    </row>
    <row r="20" spans="1:3" ht="15" thickBot="1" x14ac:dyDescent="0.35">
      <c r="A20" s="4" t="s">
        <v>18</v>
      </c>
      <c r="B20" t="str">
        <f t="shared" si="0"/>
        <v>Салат из дайкона с капустой провансаль</v>
      </c>
      <c r="C20" s="6">
        <v>44</v>
      </c>
    </row>
    <row r="21" spans="1:3" ht="15" thickBot="1" x14ac:dyDescent="0.35">
      <c r="A21" s="4" t="s">
        <v>268</v>
      </c>
      <c r="B21" t="str">
        <f t="shared" si="0"/>
        <v>Салат из дайкона с капустой квашеной</v>
      </c>
      <c r="C21" s="6">
        <v>48</v>
      </c>
    </row>
    <row r="22" spans="1:3" ht="15" thickBot="1" x14ac:dyDescent="0.35">
      <c r="A22" s="4" t="s">
        <v>281</v>
      </c>
      <c r="B22" t="str">
        <f t="shared" si="0"/>
        <v>Салат из дайкона со сметаной или с маслом раст. или с м.з</v>
      </c>
      <c r="C22" s="6">
        <v>58</v>
      </c>
    </row>
    <row r="23" spans="1:3" ht="15" thickBot="1" x14ac:dyDescent="0.35">
      <c r="A23" s="4" t="s">
        <v>269</v>
      </c>
      <c r="B23" t="str">
        <f t="shared" si="0"/>
        <v xml:space="preserve">Салат из дайкона </v>
      </c>
      <c r="C23" s="6">
        <v>55</v>
      </c>
    </row>
    <row r="24" spans="1:3" ht="15" thickBot="1" x14ac:dyDescent="0.35">
      <c r="A24" s="4" t="s">
        <v>19</v>
      </c>
      <c r="B24" t="str">
        <f t="shared" si="0"/>
        <v>Салат из дайкона с морской капустой</v>
      </c>
      <c r="C24" s="6">
        <v>65</v>
      </c>
    </row>
    <row r="25" spans="1:3" ht="15" thickBot="1" x14ac:dyDescent="0.35">
      <c r="A25" s="4" t="s">
        <v>20</v>
      </c>
      <c r="B25" t="str">
        <f t="shared" si="0"/>
        <v xml:space="preserve">Салат из редиса </v>
      </c>
      <c r="C25" s="6">
        <v>52</v>
      </c>
    </row>
    <row r="26" spans="1:3" ht="15" thickBot="1" x14ac:dyDescent="0.35">
      <c r="A26" s="4" t="s">
        <v>21</v>
      </c>
      <c r="B26" t="str">
        <f t="shared" si="0"/>
        <v>Салат из дайкона с имбирем</v>
      </c>
      <c r="C26" s="6">
        <v>47</v>
      </c>
    </row>
    <row r="27" spans="1:3" ht="15" thickBot="1" x14ac:dyDescent="0.35">
      <c r="A27" s="4" t="s">
        <v>22</v>
      </c>
      <c r="B27" t="str">
        <f t="shared" si="0"/>
        <v xml:space="preserve">Салат «Ералаш» </v>
      </c>
      <c r="C27" s="6">
        <v>46</v>
      </c>
    </row>
    <row r="28" spans="1:3" ht="15" thickBot="1" x14ac:dyDescent="0.35">
      <c r="A28" s="4" t="s">
        <v>23</v>
      </c>
      <c r="B28" t="str">
        <f t="shared" si="0"/>
        <v xml:space="preserve">Салат «Золотой гребешок» </v>
      </c>
      <c r="C28" s="6">
        <v>100</v>
      </c>
    </row>
    <row r="29" spans="1:3" ht="15" thickBot="1" x14ac:dyDescent="0.35">
      <c r="A29" s="4" t="s">
        <v>24</v>
      </c>
      <c r="B29" t="str">
        <f t="shared" si="0"/>
        <v xml:space="preserve">Салат «Закарпатский» </v>
      </c>
      <c r="C29" s="6">
        <v>80</v>
      </c>
    </row>
    <row r="30" spans="1:3" ht="15" thickBot="1" x14ac:dyDescent="0.35">
      <c r="A30" s="4" t="s">
        <v>25</v>
      </c>
      <c r="B30" t="str">
        <f t="shared" si="0"/>
        <v xml:space="preserve">Салат «Зенит» </v>
      </c>
      <c r="C30" s="6">
        <v>36</v>
      </c>
    </row>
    <row r="31" spans="1:3" ht="15" thickBot="1" x14ac:dyDescent="0.35">
      <c r="A31" s="4" t="s">
        <v>26</v>
      </c>
      <c r="B31" t="str">
        <f t="shared" si="0"/>
        <v xml:space="preserve">Салат «Загадка» </v>
      </c>
      <c r="C31" s="6">
        <v>83</v>
      </c>
    </row>
    <row r="32" spans="1:3" ht="15" thickBot="1" x14ac:dyDescent="0.35">
      <c r="A32" s="4" t="s">
        <v>27</v>
      </c>
      <c r="B32" t="str">
        <f t="shared" si="0"/>
        <v>Салат из зел. лука с яйцом со сметаной</v>
      </c>
      <c r="C32" s="6">
        <v>58</v>
      </c>
    </row>
    <row r="33" spans="1:3" ht="15" thickBot="1" x14ac:dyDescent="0.35">
      <c r="A33" s="4" t="s">
        <v>280</v>
      </c>
      <c r="B33" t="str">
        <f t="shared" si="0"/>
        <v xml:space="preserve">Салат «Изюминка» </v>
      </c>
      <c r="C33" s="6">
        <v>72</v>
      </c>
    </row>
    <row r="34" spans="1:3" ht="15" thickBot="1" x14ac:dyDescent="0.35">
      <c r="A34" s="4" t="s">
        <v>28</v>
      </c>
      <c r="B34" t="str">
        <f t="shared" si="0"/>
        <v xml:space="preserve">Салат «Испаночка» </v>
      </c>
      <c r="C34" s="6">
        <v>57</v>
      </c>
    </row>
    <row r="35" spans="1:3" ht="15" thickBot="1" x14ac:dyDescent="0.35">
      <c r="A35" s="4" t="s">
        <v>29</v>
      </c>
      <c r="B35" t="str">
        <f t="shared" si="0"/>
        <v xml:space="preserve">Салат «Купеческий» </v>
      </c>
      <c r="C35" s="6">
        <v>76</v>
      </c>
    </row>
    <row r="36" spans="1:3" ht="15" thickBot="1" x14ac:dyDescent="0.35">
      <c r="A36" s="4" t="s">
        <v>30</v>
      </c>
      <c r="B36" t="str">
        <f t="shared" si="0"/>
        <v>Салат «Коктейль из ветчины и свежих огурцов»</v>
      </c>
      <c r="C36" s="6">
        <v>77</v>
      </c>
    </row>
    <row r="37" spans="1:3" ht="15" thickBot="1" x14ac:dyDescent="0.35">
      <c r="A37" s="4" t="s">
        <v>31</v>
      </c>
      <c r="B37" t="str">
        <f t="shared" si="0"/>
        <v>Салат «Коктейль из печени и свежих огурцов»</v>
      </c>
      <c r="C37" s="6">
        <v>73</v>
      </c>
    </row>
    <row r="38" spans="1:3" ht="15" thickBot="1" x14ac:dyDescent="0.35">
      <c r="A38" s="4" t="s">
        <v>32</v>
      </c>
      <c r="B38" t="str">
        <f t="shared" si="0"/>
        <v xml:space="preserve">Салат «Каприз» </v>
      </c>
      <c r="C38" s="6">
        <v>68</v>
      </c>
    </row>
    <row r="39" spans="1:3" ht="15" thickBot="1" x14ac:dyDescent="0.35">
      <c r="A39" s="4" t="s">
        <v>33</v>
      </c>
      <c r="B39" t="str">
        <f t="shared" si="0"/>
        <v xml:space="preserve">Салат «Королевский» </v>
      </c>
      <c r="C39" s="6">
        <v>95</v>
      </c>
    </row>
    <row r="40" spans="1:3" ht="15" thickBot="1" x14ac:dyDescent="0.35">
      <c r="A40" s="4" t="s">
        <v>270</v>
      </c>
      <c r="B40" t="str">
        <f t="shared" si="0"/>
        <v xml:space="preserve">Салат «Крабик» </v>
      </c>
      <c r="C40" s="6">
        <v>45</v>
      </c>
    </row>
    <row r="41" spans="1:3" ht="15" thickBot="1" x14ac:dyDescent="0.35">
      <c r="A41" s="4" t="s">
        <v>34</v>
      </c>
      <c r="B41" t="str">
        <f t="shared" si="0"/>
        <v>Салат картофельный с кальмарами</v>
      </c>
      <c r="C41" s="6">
        <v>56</v>
      </c>
    </row>
    <row r="42" spans="1:3" ht="15" thickBot="1" x14ac:dyDescent="0.35">
      <c r="A42" s="4" t="s">
        <v>35</v>
      </c>
      <c r="B42" t="str">
        <f t="shared" si="0"/>
        <v xml:space="preserve">Салат «Карри» </v>
      </c>
      <c r="C42" s="6">
        <v>61</v>
      </c>
    </row>
    <row r="43" spans="1:3" ht="15" thickBot="1" x14ac:dyDescent="0.35">
      <c r="A43" s="4" t="s">
        <v>36</v>
      </c>
      <c r="B43" t="str">
        <f t="shared" si="0"/>
        <v xml:space="preserve">Салат «Колизей» </v>
      </c>
      <c r="C43" s="7"/>
    </row>
    <row r="44" spans="1:3" ht="15" thickBot="1" x14ac:dyDescent="0.35">
      <c r="A44" s="4" t="s">
        <v>37</v>
      </c>
      <c r="B44" t="str">
        <f t="shared" si="0"/>
        <v xml:space="preserve">Салат «Летний» </v>
      </c>
      <c r="C44" s="6">
        <v>58</v>
      </c>
    </row>
    <row r="45" spans="1:3" ht="15" thickBot="1" x14ac:dyDescent="0.35">
      <c r="A45" s="4" t="s">
        <v>38</v>
      </c>
      <c r="B45" t="str">
        <f t="shared" si="0"/>
        <v xml:space="preserve">Салат «Мясной» </v>
      </c>
      <c r="C45" s="6">
        <v>57</v>
      </c>
    </row>
    <row r="46" spans="1:3" ht="15" thickBot="1" x14ac:dyDescent="0.35">
      <c r="A46" s="4" t="s">
        <v>39</v>
      </c>
      <c r="B46" t="str">
        <f t="shared" si="0"/>
        <v xml:space="preserve">Салат «Мимоза» </v>
      </c>
      <c r="C46" s="6">
        <v>56</v>
      </c>
    </row>
    <row r="47" spans="1:3" ht="15" thickBot="1" x14ac:dyDescent="0.35">
      <c r="A47" s="4" t="s">
        <v>40</v>
      </c>
      <c r="B47" t="str">
        <f t="shared" si="0"/>
        <v xml:space="preserve">Салат «Мираж» </v>
      </c>
      <c r="C47" s="6">
        <v>38</v>
      </c>
    </row>
    <row r="48" spans="1:3" ht="15" thickBot="1" x14ac:dyDescent="0.35">
      <c r="A48" s="4" t="s">
        <v>41</v>
      </c>
      <c r="B48" t="str">
        <f t="shared" si="0"/>
        <v xml:space="preserve">Салат «Морской» </v>
      </c>
      <c r="C48" s="6">
        <v>78</v>
      </c>
    </row>
    <row r="49" spans="1:3" ht="15" thickBot="1" x14ac:dyDescent="0.35">
      <c r="A49" s="4" t="s">
        <v>42</v>
      </c>
      <c r="B49" t="str">
        <f t="shared" si="0"/>
        <v xml:space="preserve">Салат «Морская фантазия» </v>
      </c>
      <c r="C49" s="6">
        <v>67</v>
      </c>
    </row>
    <row r="50" spans="1:3" ht="15" thickBot="1" x14ac:dyDescent="0.35">
      <c r="A50" s="4" t="s">
        <v>43</v>
      </c>
      <c r="B50" t="str">
        <f t="shared" si="0"/>
        <v>Салат из моркови по-корейски с морской капустой</v>
      </c>
      <c r="C50" s="6">
        <v>57</v>
      </c>
    </row>
    <row r="51" spans="1:3" ht="15" thickBot="1" x14ac:dyDescent="0.35">
      <c r="A51" s="4" t="s">
        <v>44</v>
      </c>
      <c r="B51" t="str">
        <f t="shared" si="0"/>
        <v>Салат из моркови по-корейски с капустой провансаль</v>
      </c>
      <c r="C51" s="6">
        <v>43</v>
      </c>
    </row>
    <row r="52" spans="1:3" ht="15" thickBot="1" x14ac:dyDescent="0.35">
      <c r="A52" s="4" t="s">
        <v>45</v>
      </c>
      <c r="B52" t="str">
        <f t="shared" si="0"/>
        <v>Салат из моркови по-корейски с капустой квашеной</v>
      </c>
      <c r="C52" s="6">
        <v>38</v>
      </c>
    </row>
    <row r="53" spans="1:3" ht="15" thickBot="1" x14ac:dyDescent="0.35">
      <c r="A53" s="4" t="s">
        <v>46</v>
      </c>
      <c r="B53" t="str">
        <f t="shared" si="0"/>
        <v>Салат из моркови по-корейски с имбирем</v>
      </c>
      <c r="C53" s="6">
        <v>45</v>
      </c>
    </row>
    <row r="54" spans="1:3" ht="15" thickBot="1" x14ac:dyDescent="0.35">
      <c r="A54" s="4" t="s">
        <v>271</v>
      </c>
      <c r="B54" t="str">
        <f t="shared" si="0"/>
        <v>Салат из морской капусты с капустой провансаль</v>
      </c>
      <c r="C54" s="6">
        <v>52</v>
      </c>
    </row>
    <row r="55" spans="1:3" ht="15" thickBot="1" x14ac:dyDescent="0.35">
      <c r="A55" s="4" t="s">
        <v>272</v>
      </c>
      <c r="B55" t="str">
        <f t="shared" si="0"/>
        <v>Салат из морской капусты с квашеной капустой</v>
      </c>
      <c r="C55" s="6">
        <v>46</v>
      </c>
    </row>
    <row r="56" spans="1:3" ht="15" thickBot="1" x14ac:dyDescent="0.35">
      <c r="A56" s="4" t="s">
        <v>273</v>
      </c>
      <c r="B56" t="str">
        <f t="shared" si="0"/>
        <v>Салат из квашеной капусты с капустой провансаль</v>
      </c>
      <c r="C56" s="6">
        <v>33</v>
      </c>
    </row>
    <row r="57" spans="1:3" ht="15" thickBot="1" x14ac:dyDescent="0.35">
      <c r="A57" s="4" t="s">
        <v>274</v>
      </c>
      <c r="B57" t="str">
        <f t="shared" si="0"/>
        <v>Салат из квашеной капусты с зел.луком</v>
      </c>
      <c r="C57" s="6">
        <v>35</v>
      </c>
    </row>
    <row r="58" spans="1:3" ht="15" thickBot="1" x14ac:dyDescent="0.35">
      <c r="A58" s="4" t="s">
        <v>47</v>
      </c>
      <c r="B58" t="str">
        <f t="shared" si="0"/>
        <v>Салат из имбиря с капустой провансаль</v>
      </c>
      <c r="C58" s="6">
        <v>33</v>
      </c>
    </row>
    <row r="59" spans="1:3" ht="15" thickBot="1" x14ac:dyDescent="0.35">
      <c r="A59" s="4" t="s">
        <v>275</v>
      </c>
      <c r="B59" t="str">
        <f t="shared" si="0"/>
        <v>Салат из имбиря с морской капустой</v>
      </c>
      <c r="C59" s="6">
        <v>44</v>
      </c>
    </row>
    <row r="60" spans="1:3" ht="15" thickBot="1" x14ac:dyDescent="0.35">
      <c r="A60" s="4" t="s">
        <v>48</v>
      </c>
      <c r="B60" t="str">
        <f t="shared" si="0"/>
        <v>Салат из свежей капусты с клюквой или с брусникой</v>
      </c>
      <c r="C60" s="6">
        <v>27</v>
      </c>
    </row>
    <row r="61" spans="1:3" ht="15" thickBot="1" x14ac:dyDescent="0.35">
      <c r="A61" s="4" t="s">
        <v>276</v>
      </c>
      <c r="B61" t="str">
        <f t="shared" si="0"/>
        <v xml:space="preserve">с вяленой клюквой         </v>
      </c>
      <c r="C61" s="6">
        <v>39</v>
      </c>
    </row>
    <row r="62" spans="1:3" ht="15" thickBot="1" x14ac:dyDescent="0.35">
      <c r="A62" s="4" t="s">
        <v>49</v>
      </c>
      <c r="B62" t="str">
        <f t="shared" si="0"/>
        <v>Салат из свеклы с сыром и чесноком</v>
      </c>
      <c r="C62" s="6">
        <v>45</v>
      </c>
    </row>
    <row r="63" spans="1:3" ht="15" thickBot="1" x14ac:dyDescent="0.35">
      <c r="A63" s="4" t="s">
        <v>277</v>
      </c>
      <c r="B63" t="str">
        <f t="shared" si="0"/>
        <v>Салат из свеклы c черносливом со сметаной</v>
      </c>
      <c r="C63" s="6">
        <v>42</v>
      </c>
    </row>
    <row r="64" spans="1:3" ht="15" thickBot="1" x14ac:dyDescent="0.35">
      <c r="A64" s="4" t="s">
        <v>278</v>
      </c>
      <c r="B64" t="str">
        <f t="shared" si="0"/>
        <v>Салат из свеклы c яблоками со сметаной</v>
      </c>
      <c r="C64" s="6">
        <v>29</v>
      </c>
    </row>
    <row r="65" spans="1:3" ht="15" thickBot="1" x14ac:dyDescent="0.35">
      <c r="A65" s="4" t="s">
        <v>50</v>
      </c>
      <c r="B65" t="str">
        <f t="shared" si="0"/>
        <v xml:space="preserve">Салат «Нежность» </v>
      </c>
      <c r="C65" s="6">
        <v>100</v>
      </c>
    </row>
    <row r="66" spans="1:3" ht="15" thickBot="1" x14ac:dyDescent="0.35">
      <c r="A66" s="4" t="s">
        <v>51</v>
      </c>
      <c r="B66" t="str">
        <f t="shared" ref="B66:B74" si="1">IF(ISERROR(FIND("/",A66)),A66,LEFTB(A66,FIND("/",A66)-1))</f>
        <v xml:space="preserve">Салат «Новинка» </v>
      </c>
      <c r="C66" s="6">
        <v>30</v>
      </c>
    </row>
    <row r="67" spans="1:3" ht="15" thickBot="1" x14ac:dyDescent="0.35">
      <c r="A67" s="4" t="s">
        <v>52</v>
      </c>
      <c r="B67" t="str">
        <f t="shared" si="1"/>
        <v xml:space="preserve">Салат «Оливье» </v>
      </c>
      <c r="C67" s="6">
        <v>67</v>
      </c>
    </row>
    <row r="68" spans="1:3" ht="15" thickBot="1" x14ac:dyDescent="0.35">
      <c r="A68" s="4" t="s">
        <v>53</v>
      </c>
      <c r="B68" t="str">
        <f t="shared" si="1"/>
        <v xml:space="preserve">Салат «Осенний» </v>
      </c>
      <c r="C68" s="6">
        <v>37</v>
      </c>
    </row>
    <row r="69" spans="1:3" ht="15" thickBot="1" x14ac:dyDescent="0.35">
      <c r="A69" s="4" t="s">
        <v>54</v>
      </c>
      <c r="B69" t="str">
        <f t="shared" si="1"/>
        <v xml:space="preserve">Салат «Пекинский» </v>
      </c>
      <c r="C69" s="6">
        <v>46</v>
      </c>
    </row>
    <row r="70" spans="1:3" ht="15" thickBot="1" x14ac:dyDescent="0.35">
      <c r="A70" s="4" t="s">
        <v>55</v>
      </c>
      <c r="B70" t="str">
        <f t="shared" si="1"/>
        <v xml:space="preserve">Салат «Печеночный» </v>
      </c>
      <c r="C70" s="6">
        <v>58</v>
      </c>
    </row>
    <row r="71" spans="1:3" ht="15" thickBot="1" x14ac:dyDescent="0.35">
      <c r="A71" s="4" t="s">
        <v>56</v>
      </c>
      <c r="B71" t="str">
        <f t="shared" si="1"/>
        <v xml:space="preserve">Салат «Пражский» </v>
      </c>
      <c r="C71" s="6">
        <v>82</v>
      </c>
    </row>
    <row r="72" spans="1:3" ht="15" thickBot="1" x14ac:dyDescent="0.35">
      <c r="A72" s="4" t="s">
        <v>57</v>
      </c>
      <c r="B72" t="str">
        <f t="shared" si="1"/>
        <v xml:space="preserve">Салат «Пестрый» </v>
      </c>
      <c r="C72" s="6">
        <v>58</v>
      </c>
    </row>
    <row r="73" spans="1:3" ht="15" thickBot="1" x14ac:dyDescent="0.35">
      <c r="A73" s="4" t="s">
        <v>279</v>
      </c>
      <c r="B73" t="str">
        <f>IF(ISERROR(FIND("/",A73)),A73,LEFTB(A73,FIND("/",A73)-1))</f>
        <v xml:space="preserve">Салат «Русский» </v>
      </c>
      <c r="C73" s="6">
        <v>95</v>
      </c>
    </row>
    <row r="74" spans="1:3" ht="15" thickBot="1" x14ac:dyDescent="0.35">
      <c r="A74" s="4" t="s">
        <v>58</v>
      </c>
      <c r="B74" t="str">
        <f t="shared" si="1"/>
        <v xml:space="preserve">Салат «Ретро» </v>
      </c>
      <c r="C74" s="7"/>
    </row>
    <row r="75" spans="1:3" ht="15" thickBot="1" x14ac:dyDescent="0.35">
      <c r="A75" s="4" t="s">
        <v>59</v>
      </c>
      <c r="B75" t="str">
        <f>IF(ISERROR(FIND("/",A75)),A75,LEFTB(A75,FIND("/",A75)-1))</f>
        <v xml:space="preserve">Салат рыбный </v>
      </c>
      <c r="C75" s="6">
        <v>45</v>
      </c>
    </row>
    <row r="76" spans="1:3" ht="15" thickBot="1" x14ac:dyDescent="0.35">
      <c r="A76" s="5" t="s">
        <v>221</v>
      </c>
    </row>
    <row r="77" spans="1:3" ht="15" thickBot="1" x14ac:dyDescent="0.35">
      <c r="A77" s="2" t="s">
        <v>61</v>
      </c>
      <c r="B77" t="str">
        <f t="shared" ref="B77:B98" si="2">IF(ISERROR(FIND("/",A77)),A77,LEFTB(A77,FIND("/",A77)-1))</f>
        <v>Сельдь с луком</v>
      </c>
      <c r="C77" s="8">
        <v>40</v>
      </c>
    </row>
    <row r="78" spans="1:3" ht="15" thickBot="1" x14ac:dyDescent="0.35">
      <c r="A78" s="1" t="s">
        <v>62</v>
      </c>
      <c r="B78" t="str">
        <f t="shared" si="2"/>
        <v>Сельдь под шубой</v>
      </c>
      <c r="C78" s="9">
        <v>53</v>
      </c>
    </row>
    <row r="79" spans="1:3" ht="15" thickBot="1" x14ac:dyDescent="0.35">
      <c r="A79" s="1" t="s">
        <v>63</v>
      </c>
      <c r="B79" t="str">
        <f t="shared" si="2"/>
        <v>Селедочка под лисьей шубкой (сел.грибы.карт.яйцо.морк.м</v>
      </c>
      <c r="C79" s="9">
        <v>93</v>
      </c>
    </row>
    <row r="80" spans="1:3" ht="15" thickBot="1" x14ac:dyDescent="0.35">
      <c r="A80" s="1" t="s">
        <v>64</v>
      </c>
      <c r="B80" t="str">
        <f t="shared" si="2"/>
        <v>Горбуша под маринадом</v>
      </c>
      <c r="C80" s="9">
        <v>85</v>
      </c>
    </row>
    <row r="81" spans="1:3" ht="15" thickBot="1" x14ac:dyDescent="0.35">
      <c r="A81" s="1" t="s">
        <v>65</v>
      </c>
      <c r="B81" t="str">
        <f t="shared" si="2"/>
        <v>Треска под маринадом,  пикша</v>
      </c>
      <c r="C81" s="9">
        <v>74</v>
      </c>
    </row>
    <row r="82" spans="1:3" ht="15" thickBot="1" x14ac:dyDescent="0.35">
      <c r="A82" s="1" t="s">
        <v>66</v>
      </c>
      <c r="B82" t="str">
        <f t="shared" si="2"/>
        <v>Минтай под маринадом</v>
      </c>
      <c r="C82" s="9">
        <v>74</v>
      </c>
    </row>
    <row r="83" spans="1:3" ht="15" thickBot="1" x14ac:dyDescent="0.35">
      <c r="A83" s="1" t="s">
        <v>67</v>
      </c>
      <c r="B83" t="str">
        <f t="shared" si="2"/>
        <v xml:space="preserve">Салат «Свежесть» </v>
      </c>
      <c r="C83" s="9">
        <v>47</v>
      </c>
    </row>
    <row r="84" spans="1:3" ht="15" thickBot="1" x14ac:dyDescent="0.35">
      <c r="A84" s="1" t="s">
        <v>68</v>
      </c>
      <c r="B84" t="str">
        <f t="shared" si="2"/>
        <v xml:space="preserve">Салат «Славянский» </v>
      </c>
      <c r="C84" s="9">
        <v>38</v>
      </c>
    </row>
    <row r="85" spans="1:3" ht="15" thickBot="1" x14ac:dyDescent="0.35">
      <c r="A85" s="1" t="s">
        <v>69</v>
      </c>
      <c r="B85" t="str">
        <f t="shared" si="2"/>
        <v xml:space="preserve">Салат «Светофор» </v>
      </c>
      <c r="C85" s="9">
        <v>38</v>
      </c>
    </row>
    <row r="86" spans="1:3" ht="15" thickBot="1" x14ac:dyDescent="0.35">
      <c r="A86" s="1" t="s">
        <v>70</v>
      </c>
      <c r="B86" t="str">
        <f t="shared" si="2"/>
        <v xml:space="preserve">Салат «Фантазия» </v>
      </c>
      <c r="C86" s="9">
        <v>72</v>
      </c>
    </row>
    <row r="87" spans="1:3" ht="15" thickBot="1" x14ac:dyDescent="0.35">
      <c r="A87" s="1" t="s">
        <v>71</v>
      </c>
      <c r="B87" t="str">
        <f t="shared" si="2"/>
        <v xml:space="preserve">Салат «Фа-соль-ка» </v>
      </c>
      <c r="C87" s="9">
        <v>83</v>
      </c>
    </row>
    <row r="88" spans="1:3" ht="15" thickBot="1" x14ac:dyDescent="0.35">
      <c r="A88" s="1" t="s">
        <v>72</v>
      </c>
      <c r="B88" t="str">
        <f t="shared" si="2"/>
        <v xml:space="preserve">Салат «Цезарь с курицей» </v>
      </c>
      <c r="C88" s="9">
        <v>87</v>
      </c>
    </row>
    <row r="89" spans="1:3" ht="15" thickBot="1" x14ac:dyDescent="0.35">
      <c r="A89" s="1" t="s">
        <v>73</v>
      </c>
      <c r="B89" t="str">
        <f t="shared" si="2"/>
        <v xml:space="preserve">Салат «Чудесница» </v>
      </c>
      <c r="C89" s="9">
        <v>77</v>
      </c>
    </row>
    <row r="90" spans="1:3" ht="15" thickBot="1" x14ac:dyDescent="0.35">
      <c r="A90" s="1" t="s">
        <v>74</v>
      </c>
      <c r="B90" t="str">
        <f t="shared" si="2"/>
        <v xml:space="preserve">Салат «Чародейка» </v>
      </c>
      <c r="C90" s="9">
        <v>52</v>
      </c>
    </row>
    <row r="91" spans="1:3" ht="15" thickBot="1" x14ac:dyDescent="0.35">
      <c r="A91" s="1" t="s">
        <v>75</v>
      </c>
      <c r="B91" t="str">
        <f t="shared" si="2"/>
        <v xml:space="preserve">Салат «Шахтерский» </v>
      </c>
      <c r="C91" s="9">
        <v>67</v>
      </c>
    </row>
    <row r="92" spans="1:3" ht="15" thickBot="1" x14ac:dyDescent="0.35">
      <c r="A92" s="1" t="s">
        <v>76</v>
      </c>
      <c r="B92" t="str">
        <f t="shared" si="2"/>
        <v xml:space="preserve">Салат «Шотландский» </v>
      </c>
      <c r="C92" s="9">
        <v>61</v>
      </c>
    </row>
    <row r="93" spans="1:3" ht="15" thickBot="1" x14ac:dyDescent="0.35">
      <c r="A93" s="1" t="s">
        <v>77</v>
      </c>
      <c r="B93" t="str">
        <f t="shared" si="2"/>
        <v>Салат «Ярославна» (ветч.ог.св.пом.св.ябл.карт.кап.майонез)</v>
      </c>
      <c r="C93" s="9">
        <v>53</v>
      </c>
    </row>
    <row r="94" spans="1:3" ht="15" thickBot="1" x14ac:dyDescent="0.35">
      <c r="A94" s="1" t="s">
        <v>282</v>
      </c>
      <c r="B94" t="str">
        <f t="shared" si="2"/>
        <v>Кабачки жареные с майонезом, с чесноком</v>
      </c>
      <c r="C94" s="9">
        <v>52</v>
      </c>
    </row>
    <row r="95" spans="1:3" ht="15" thickBot="1" x14ac:dyDescent="0.35">
      <c r="A95" s="1" t="s">
        <v>78</v>
      </c>
      <c r="B95" t="str">
        <f t="shared" si="2"/>
        <v>Баклажаны жареные с майонезом, с чесноком</v>
      </c>
      <c r="C95" s="9">
        <v>52</v>
      </c>
    </row>
    <row r="96" spans="1:3" ht="15" thickBot="1" x14ac:dyDescent="0.35">
      <c r="A96" s="1" t="s">
        <v>79</v>
      </c>
      <c r="B96" t="str">
        <f t="shared" si="2"/>
        <v>Яйцо под майонезом с морковью по-корейски</v>
      </c>
      <c r="C96" s="9">
        <v>40</v>
      </c>
    </row>
    <row r="97" spans="1:3" ht="15" thickBot="1" x14ac:dyDescent="0.35">
      <c r="A97" s="1" t="s">
        <v>283</v>
      </c>
      <c r="B97" t="str">
        <f t="shared" si="2"/>
        <v>Яйцо под майонезом с капустой провансаль</v>
      </c>
      <c r="C97" s="9">
        <v>40</v>
      </c>
    </row>
    <row r="98" spans="1:3" ht="15" thickBot="1" x14ac:dyDescent="0.35">
      <c r="A98" s="1" t="s">
        <v>284</v>
      </c>
      <c r="B98" t="str">
        <f t="shared" si="2"/>
        <v>Яйцо под майонезом с капустой квашеной</v>
      </c>
      <c r="C98" s="9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524B-EC6F-4131-92C0-895A90A859B3}">
  <dimension ref="A1:B173"/>
  <sheetViews>
    <sheetView topLeftCell="A21" workbookViewId="0">
      <selection activeCell="B1" sqref="B1"/>
    </sheetView>
  </sheetViews>
  <sheetFormatPr defaultRowHeight="14.4" x14ac:dyDescent="0.3"/>
  <cols>
    <col min="1" max="2" width="65.77734375" bestFit="1" customWidth="1"/>
  </cols>
  <sheetData>
    <row r="1" spans="1:2" ht="15" thickBot="1" x14ac:dyDescent="0.35">
      <c r="A1" s="3" t="s">
        <v>80</v>
      </c>
      <c r="B1" t="str">
        <f>IF(ISERROR(FIND("/",A1)),A1,LEFTB(A1,FIND("/",A1)-1))</f>
        <v xml:space="preserve">Говядина «Смак» </v>
      </c>
    </row>
    <row r="2" spans="1:2" ht="15" thickBot="1" x14ac:dyDescent="0.35">
      <c r="A2" s="4" t="s">
        <v>81</v>
      </c>
      <c r="B2" t="str">
        <f t="shared" ref="B2:B65" si="0">IF(ISERROR(FIND("/",A2)),A2,LEFTB(A2,FIND("/",A2)-1))</f>
        <v>Говядина в кисло-сладком соусе</v>
      </c>
    </row>
    <row r="3" spans="1:2" ht="15" thickBot="1" x14ac:dyDescent="0.35">
      <c r="A3" s="4" t="s">
        <v>82</v>
      </c>
      <c r="B3" t="str">
        <f t="shared" si="0"/>
        <v>Говядина тушеная с яблоками</v>
      </c>
    </row>
    <row r="4" spans="1:2" ht="15" thickBot="1" x14ac:dyDescent="0.35">
      <c r="A4" s="4" t="s">
        <v>83</v>
      </c>
      <c r="B4" t="str">
        <f t="shared" si="0"/>
        <v>Говядина  тушеная с черносливом</v>
      </c>
    </row>
    <row r="5" spans="1:2" ht="15" thickBot="1" x14ac:dyDescent="0.35">
      <c r="A5" s="4" t="s">
        <v>84</v>
      </c>
      <c r="B5" t="str">
        <f t="shared" si="0"/>
        <v>Говядина тушеная с грушами в медово-пивном соусе</v>
      </c>
    </row>
    <row r="6" spans="1:2" ht="15" thickBot="1" x14ac:dyDescent="0.35">
      <c r="A6" s="4" t="s">
        <v>85</v>
      </c>
      <c r="B6" t="str">
        <f t="shared" si="0"/>
        <v>Лангет</v>
      </c>
    </row>
    <row r="7" spans="1:2" ht="15" thickBot="1" x14ac:dyDescent="0.35">
      <c r="A7" s="4" t="s">
        <v>285</v>
      </c>
      <c r="B7" t="str">
        <f t="shared" si="0"/>
        <v xml:space="preserve">Ромштекс </v>
      </c>
    </row>
    <row r="8" spans="1:2" ht="15" thickBot="1" x14ac:dyDescent="0.35">
      <c r="A8" s="4" t="s">
        <v>86</v>
      </c>
      <c r="B8" t="str">
        <f t="shared" si="0"/>
        <v>Гуляш</v>
      </c>
    </row>
    <row r="9" spans="1:2" ht="15" thickBot="1" x14ac:dyDescent="0.35">
      <c r="A9" s="4" t="s">
        <v>87</v>
      </c>
      <c r="B9" t="str">
        <f t="shared" si="0"/>
        <v>Говядина отварная</v>
      </c>
    </row>
    <row r="10" spans="1:2" ht="15" thickBot="1" x14ac:dyDescent="0.35">
      <c r="A10" s="4" t="s">
        <v>88</v>
      </c>
      <c r="B10" t="str">
        <f t="shared" si="0"/>
        <v>Мясо по-французски</v>
      </c>
    </row>
    <row r="11" spans="1:2" ht="15" thickBot="1" x14ac:dyDescent="0.35">
      <c r="A11" s="4" t="s">
        <v>89</v>
      </c>
      <c r="B11" t="str">
        <f t="shared" si="0"/>
        <v>Мясо по-российски</v>
      </c>
    </row>
    <row r="12" spans="1:2" ht="15" thickBot="1" x14ac:dyDescent="0.35">
      <c r="A12" s="4" t="s">
        <v>286</v>
      </c>
      <c r="B12" t="str">
        <f t="shared" si="0"/>
        <v xml:space="preserve">Мясо фаршированное ветчиной </v>
      </c>
    </row>
    <row r="13" spans="1:2" ht="15" thickBot="1" x14ac:dyDescent="0.35">
      <c r="A13" s="4" t="s">
        <v>90</v>
      </c>
      <c r="B13" t="str">
        <f t="shared" si="0"/>
        <v xml:space="preserve">Мясо  шпигованное </v>
      </c>
    </row>
    <row r="14" spans="1:2" ht="15" thickBot="1" x14ac:dyDescent="0.35">
      <c r="A14" s="4" t="s">
        <v>91</v>
      </c>
      <c r="B14" t="str">
        <f t="shared" si="0"/>
        <v>Говядина тушеная  с овощами(пом.св.пер.болг.лук)</v>
      </c>
    </row>
    <row r="15" spans="1:2" ht="15" thickBot="1" x14ac:dyDescent="0.35">
      <c r="A15" s="4" t="s">
        <v>287</v>
      </c>
      <c r="B15" t="str">
        <f t="shared" si="0"/>
        <v xml:space="preserve">Мясо по-фламански </v>
      </c>
    </row>
    <row r="16" spans="1:2" ht="15" thickBot="1" x14ac:dyDescent="0.35">
      <c r="A16" s="4" t="s">
        <v>92</v>
      </c>
      <c r="B16" t="str">
        <f t="shared" si="0"/>
        <v xml:space="preserve">Говядина  тушеная  в арах.соусе </v>
      </c>
    </row>
    <row r="17" spans="1:2" ht="15" thickBot="1" x14ac:dyDescent="0.35">
      <c r="A17" s="4" t="s">
        <v>93</v>
      </c>
      <c r="B17" t="str">
        <f t="shared" si="0"/>
        <v>Язык отварной</v>
      </c>
    </row>
    <row r="18" spans="1:2" ht="15" thickBot="1" x14ac:dyDescent="0.35">
      <c r="A18" s="4" t="s">
        <v>94</v>
      </c>
      <c r="B18" t="str">
        <f t="shared" si="0"/>
        <v xml:space="preserve">Язык запеченный </v>
      </c>
    </row>
    <row r="19" spans="1:2" ht="15" thickBot="1" x14ac:dyDescent="0.35">
      <c r="A19" s="4" t="s">
        <v>95</v>
      </c>
      <c r="B19" t="str">
        <f t="shared" si="0"/>
        <v xml:space="preserve">Плов </v>
      </c>
    </row>
    <row r="20" spans="1:2" ht="15" thickBot="1" x14ac:dyDescent="0.35">
      <c r="A20" s="4" t="s">
        <v>96</v>
      </c>
      <c r="B20" t="str">
        <f t="shared" si="0"/>
        <v xml:space="preserve">Азу по-татарски  </v>
      </c>
    </row>
    <row r="21" spans="1:2" ht="15" thickBot="1" x14ac:dyDescent="0.35">
      <c r="A21" s="4" t="s">
        <v>97</v>
      </c>
      <c r="B21" t="str">
        <f t="shared" si="0"/>
        <v>Бефстроганов</v>
      </c>
    </row>
    <row r="22" spans="1:2" ht="15" thickBot="1" x14ac:dyDescent="0.35">
      <c r="A22" s="4" t="s">
        <v>98</v>
      </c>
      <c r="B22" t="str">
        <f t="shared" si="0"/>
        <v>Перец  фаршированный  мясом и рисом</v>
      </c>
    </row>
    <row r="23" spans="1:2" ht="15" thickBot="1" x14ac:dyDescent="0.35">
      <c r="A23" s="4" t="s">
        <v>99</v>
      </c>
      <c r="B23" t="str">
        <f t="shared" si="0"/>
        <v>Спагетти</v>
      </c>
    </row>
    <row r="24" spans="1:2" ht="15" thickBot="1" x14ac:dyDescent="0.35">
      <c r="A24" s="4" t="s">
        <v>100</v>
      </c>
      <c r="B24" t="str">
        <f t="shared" si="0"/>
        <v>Спагетти с морепродуктами</v>
      </c>
    </row>
    <row r="25" spans="1:2" ht="15" thickBot="1" x14ac:dyDescent="0.35">
      <c r="A25" s="4" t="s">
        <v>101</v>
      </c>
      <c r="B25" t="str">
        <f t="shared" si="0"/>
        <v>Биточки  по-селянски</v>
      </c>
    </row>
    <row r="26" spans="1:2" ht="15" thickBot="1" x14ac:dyDescent="0.35">
      <c r="A26" s="4" t="s">
        <v>102</v>
      </c>
      <c r="B26" t="str">
        <f t="shared" si="0"/>
        <v>Котлеты рубленые</v>
      </c>
    </row>
    <row r="27" spans="1:2" ht="15" thickBot="1" x14ac:dyDescent="0.35">
      <c r="A27" s="4" t="s">
        <v>103</v>
      </c>
      <c r="B27" t="str">
        <f t="shared" si="0"/>
        <v>Биточки рубленые</v>
      </c>
    </row>
    <row r="28" spans="1:2" ht="15" thickBot="1" x14ac:dyDescent="0.35">
      <c r="A28" s="4" t="s">
        <v>104</v>
      </c>
      <c r="B28" t="str">
        <f t="shared" si="0"/>
        <v>Тефтели с соусом</v>
      </c>
    </row>
    <row r="29" spans="1:2" ht="15" thickBot="1" x14ac:dyDescent="0.35">
      <c r="A29" s="4" t="s">
        <v>105</v>
      </c>
      <c r="B29" t="str">
        <f t="shared" si="0"/>
        <v>Колбаски студенческие</v>
      </c>
    </row>
    <row r="30" spans="1:2" ht="15" thickBot="1" x14ac:dyDescent="0.35">
      <c r="A30" s="4" t="s">
        <v>106</v>
      </c>
      <c r="B30" t="str">
        <f t="shared" si="0"/>
        <v>Шницель натуральный рубленый</v>
      </c>
    </row>
    <row r="31" spans="1:2" ht="15" thickBot="1" x14ac:dyDescent="0.35">
      <c r="A31" s="4" t="s">
        <v>107</v>
      </c>
      <c r="B31" t="str">
        <f t="shared" si="0"/>
        <v xml:space="preserve">Яичные рулетики с куриным фаршем </v>
      </c>
    </row>
    <row r="32" spans="1:2" ht="15" thickBot="1" x14ac:dyDescent="0.35">
      <c r="A32" s="4" t="s">
        <v>288</v>
      </c>
      <c r="B32" t="str">
        <f t="shared" si="0"/>
        <v xml:space="preserve">Яичные рулетики с куриным фаршем </v>
      </c>
    </row>
    <row r="33" spans="1:2" ht="15" thickBot="1" x14ac:dyDescent="0.35">
      <c r="A33" s="4" t="s">
        <v>108</v>
      </c>
      <c r="B33" t="str">
        <f t="shared" si="0"/>
        <v>Бифштекс натуральный рубленый</v>
      </c>
    </row>
    <row r="34" spans="1:2" ht="15" thickBot="1" x14ac:dyDescent="0.35">
      <c r="A34" s="4" t="s">
        <v>109</v>
      </c>
      <c r="B34" t="str">
        <f t="shared" si="0"/>
        <v>Бифштекс с яйцом</v>
      </c>
    </row>
    <row r="35" spans="1:2" ht="15" thickBot="1" x14ac:dyDescent="0.35">
      <c r="A35" s="4" t="s">
        <v>289</v>
      </c>
      <c r="B35" t="str">
        <f t="shared" si="0"/>
        <v>Бифштекс с яйцом с луком</v>
      </c>
    </row>
    <row r="36" spans="1:2" ht="15" thickBot="1" x14ac:dyDescent="0.35">
      <c r="A36" s="4" t="s">
        <v>290</v>
      </c>
      <c r="B36" t="str">
        <f t="shared" si="0"/>
        <v>Бифштекс с яйцом луком и помидорами</v>
      </c>
    </row>
    <row r="37" spans="1:2" ht="15" thickBot="1" x14ac:dyDescent="0.35">
      <c r="A37" s="4" t="s">
        <v>110</v>
      </c>
      <c r="B37" t="str">
        <f t="shared" si="0"/>
        <v>Бифштекс   пикантный</v>
      </c>
    </row>
    <row r="38" spans="1:2" ht="15" thickBot="1" x14ac:dyDescent="0.35">
      <c r="A38" s="4" t="s">
        <v>291</v>
      </c>
      <c r="B38" t="str">
        <f t="shared" si="0"/>
        <v>Бифштекс славянский</v>
      </c>
    </row>
    <row r="39" spans="1:2" ht="15" thickBot="1" x14ac:dyDescent="0.35">
      <c r="A39" s="4" t="s">
        <v>111</v>
      </c>
      <c r="B39" t="str">
        <f t="shared" si="0"/>
        <v>Голубцы овощные</v>
      </c>
    </row>
    <row r="40" spans="1:2" ht="15" thickBot="1" x14ac:dyDescent="0.35">
      <c r="A40" s="4" t="s">
        <v>112</v>
      </c>
      <c r="B40" t="str">
        <f t="shared" si="0"/>
        <v>Голубцы с мясом и рисом</v>
      </c>
    </row>
    <row r="41" spans="1:2" ht="15" thickBot="1" x14ac:dyDescent="0.35">
      <c r="A41" s="4" t="s">
        <v>113</v>
      </c>
      <c r="B41" t="str">
        <f t="shared" si="0"/>
        <v>Голубцы Любительские со сметаной</v>
      </c>
    </row>
    <row r="42" spans="1:2" ht="15" thickBot="1" x14ac:dyDescent="0.35">
      <c r="A42" s="4" t="s">
        <v>114</v>
      </c>
      <c r="B42" t="str">
        <f t="shared" si="0"/>
        <v>Голубцы вьетнамские со сметаной</v>
      </c>
    </row>
    <row r="43" spans="1:2" ht="15" thickBot="1" x14ac:dyDescent="0.35">
      <c r="A43" s="4" t="s">
        <v>115</v>
      </c>
      <c r="B43" t="str">
        <f t="shared" si="0"/>
        <v>Голубцы овощные с грибами в соусе</v>
      </c>
    </row>
    <row r="44" spans="1:2" ht="15" thickBot="1" x14ac:dyDescent="0.35">
      <c r="A44" s="4" t="s">
        <v>116</v>
      </c>
      <c r="B44" t="str">
        <f t="shared" si="0"/>
        <v>Пельмени со сметаной или с маслом</v>
      </c>
    </row>
    <row r="45" spans="1:2" ht="15" thickBot="1" x14ac:dyDescent="0.35">
      <c r="A45" s="4" t="s">
        <v>117</v>
      </c>
      <c r="B45" t="str">
        <f t="shared" si="0"/>
        <v>Пельмени с бульоном</v>
      </c>
    </row>
    <row r="46" spans="1:2" ht="15" thickBot="1" x14ac:dyDescent="0.35">
      <c r="A46" s="4" t="s">
        <v>118</v>
      </c>
      <c r="B46" t="str">
        <f t="shared" si="0"/>
        <v>Фрикадельки в соусе</v>
      </c>
    </row>
    <row r="47" spans="1:2" ht="15" thickBot="1" x14ac:dyDescent="0.35">
      <c r="A47" s="4" t="s">
        <v>119</v>
      </c>
      <c r="B47" t="str">
        <f t="shared" si="0"/>
        <v>Зразы рубленые с яйцом и луком</v>
      </c>
    </row>
    <row r="48" spans="1:2" ht="15" thickBot="1" x14ac:dyDescent="0.35">
      <c r="A48" s="4" t="s">
        <v>292</v>
      </c>
      <c r="B48" t="str">
        <f t="shared" si="0"/>
        <v>Зразы рубленые с грибами и луком</v>
      </c>
    </row>
    <row r="49" spans="1:2" ht="15" thickBot="1" x14ac:dyDescent="0.35">
      <c r="A49" s="4" t="s">
        <v>120</v>
      </c>
      <c r="B49" t="str">
        <f t="shared" si="0"/>
        <v xml:space="preserve">Жаркое по-домашнему </v>
      </c>
    </row>
    <row r="50" spans="1:2" ht="15" thickBot="1" x14ac:dyDescent="0.35">
      <c r="A50" s="4" t="s">
        <v>293</v>
      </c>
      <c r="B50" t="str">
        <f t="shared" si="0"/>
        <v>Запеканка картофельная с мясом</v>
      </c>
    </row>
    <row r="51" spans="1:2" ht="15" thickBot="1" x14ac:dyDescent="0.35">
      <c r="A51" s="4" t="s">
        <v>294</v>
      </c>
      <c r="B51" t="str">
        <f t="shared" si="0"/>
        <v>Селянка домашняя с картофелем</v>
      </c>
    </row>
    <row r="52" spans="1:2" ht="15" thickBot="1" x14ac:dyDescent="0.35">
      <c r="A52" s="4" t="s">
        <v>121</v>
      </c>
      <c r="B52" t="str">
        <f t="shared" si="0"/>
        <v>Почки жареные с луком и помидорами</v>
      </c>
    </row>
    <row r="53" spans="1:2" ht="15" thickBot="1" x14ac:dyDescent="0.35">
      <c r="A53" s="4" t="s">
        <v>122</v>
      </c>
      <c r="B53" t="str">
        <f t="shared" si="0"/>
        <v>Почки жареные в сливочном соусе</v>
      </c>
    </row>
    <row r="54" spans="1:2" ht="15" thickBot="1" x14ac:dyDescent="0.35">
      <c r="A54" s="4" t="s">
        <v>123</v>
      </c>
      <c r="B54" t="str">
        <f t="shared" si="0"/>
        <v>Печень по-строгановски</v>
      </c>
    </row>
    <row r="55" spans="1:2" ht="15" thickBot="1" x14ac:dyDescent="0.35">
      <c r="A55" s="4" t="s">
        <v>124</v>
      </c>
      <c r="B55" t="str">
        <f t="shared" si="0"/>
        <v>Печень тушеная с яблоками и изюмом</v>
      </c>
    </row>
    <row r="56" spans="1:2" ht="15" thickBot="1" x14ac:dyDescent="0.35">
      <c r="A56" s="4" t="s">
        <v>125</v>
      </c>
      <c r="B56" t="str">
        <f t="shared" si="0"/>
        <v>Печень тушеная с грибами и майонезом</v>
      </c>
    </row>
    <row r="57" spans="1:2" ht="15" thickBot="1" x14ac:dyDescent="0.35">
      <c r="A57" s="4" t="s">
        <v>126</v>
      </c>
      <c r="B57" t="str">
        <f t="shared" si="0"/>
        <v>Печень тушеная с луком и майонезом</v>
      </c>
    </row>
    <row r="58" spans="1:2" ht="15" thickBot="1" x14ac:dyDescent="0.35">
      <c r="A58" s="4" t="s">
        <v>127</v>
      </c>
      <c r="B58" t="str">
        <f t="shared" si="0"/>
        <v>Печень жареная с луком</v>
      </c>
    </row>
    <row r="59" spans="1:2" ht="15" thickBot="1" x14ac:dyDescent="0.35">
      <c r="A59" s="4" t="s">
        <v>128</v>
      </c>
      <c r="B59" t="str">
        <f t="shared" si="0"/>
        <v xml:space="preserve">Печень тушеная с луком </v>
      </c>
    </row>
    <row r="60" spans="1:2" ht="15" thickBot="1" x14ac:dyDescent="0.35">
      <c r="A60" s="4" t="s">
        <v>129</v>
      </c>
      <c r="B60" t="str">
        <f t="shared" si="0"/>
        <v>Оладьи из печени</v>
      </c>
    </row>
    <row r="61" spans="1:2" ht="15" thickBot="1" x14ac:dyDescent="0.35">
      <c r="A61" s="4" t="s">
        <v>130</v>
      </c>
      <c r="B61" t="str">
        <f t="shared" si="0"/>
        <v>Сердце в соусе</v>
      </c>
    </row>
    <row r="62" spans="1:2" ht="15" thickBot="1" x14ac:dyDescent="0.35">
      <c r="A62" s="4" t="s">
        <v>131</v>
      </c>
      <c r="B62" t="str">
        <f t="shared" si="0"/>
        <v>Сердце жареное с луком</v>
      </c>
    </row>
    <row r="63" spans="1:2" ht="15" thickBot="1" x14ac:dyDescent="0.35">
      <c r="A63" s="4" t="s">
        <v>132</v>
      </c>
      <c r="B63" t="str">
        <f t="shared" si="0"/>
        <v>Легкое жареное с луком</v>
      </c>
    </row>
    <row r="64" spans="1:2" ht="15" thickBot="1" x14ac:dyDescent="0.35">
      <c r="A64" s="4" t="s">
        <v>133</v>
      </c>
      <c r="B64" t="str">
        <f t="shared" si="0"/>
        <v xml:space="preserve">Свинина по-баварски </v>
      </c>
    </row>
    <row r="65" spans="1:2" ht="15" thickBot="1" x14ac:dyDescent="0.35">
      <c r="A65" s="4" t="s">
        <v>295</v>
      </c>
      <c r="B65" t="str">
        <f t="shared" si="0"/>
        <v>Свинина, запеченная с грибами помидорами</v>
      </c>
    </row>
    <row r="66" spans="1:2" ht="15" thickBot="1" x14ac:dyDescent="0.35">
      <c r="A66" s="4" t="s">
        <v>296</v>
      </c>
      <c r="B66" t="str">
        <f t="shared" ref="B66:B129" si="1">IF(ISERROR(FIND("/",A66)),A66,LEFTB(A66,FIND("/",A66)-1))</f>
        <v>Свинина, запеченная с баклажанами</v>
      </c>
    </row>
    <row r="67" spans="1:2" ht="15" thickBot="1" x14ac:dyDescent="0.35">
      <c r="A67" s="4" t="s">
        <v>297</v>
      </c>
      <c r="B67" t="str">
        <f t="shared" si="1"/>
        <v>Свинина, запеченная с яблоками</v>
      </c>
    </row>
    <row r="68" spans="1:2" ht="15" thickBot="1" x14ac:dyDescent="0.35">
      <c r="A68" s="4" t="s">
        <v>298</v>
      </c>
      <c r="B68" t="str">
        <f t="shared" si="1"/>
        <v>Свинина, запеченная с овощами</v>
      </c>
    </row>
    <row r="69" spans="1:2" ht="15" thickBot="1" x14ac:dyDescent="0.35">
      <c r="A69" s="4" t="s">
        <v>299</v>
      </c>
      <c r="B69" t="str">
        <f t="shared" si="1"/>
        <v>Свинина, запеченная с фасолью</v>
      </c>
    </row>
    <row r="70" spans="1:2" ht="15" thickBot="1" x14ac:dyDescent="0.35">
      <c r="A70" s="4" t="s">
        <v>134</v>
      </c>
      <c r="B70" t="str">
        <f t="shared" si="1"/>
        <v xml:space="preserve">Свинина «Сокроме» </v>
      </c>
    </row>
    <row r="71" spans="1:2" ht="15" thickBot="1" x14ac:dyDescent="0.35">
      <c r="A71" s="4" t="s">
        <v>135</v>
      </c>
      <c r="B71" t="str">
        <f t="shared" si="1"/>
        <v>Свинина с косточкой</v>
      </c>
    </row>
    <row r="72" spans="1:2" ht="15" thickBot="1" x14ac:dyDescent="0.35">
      <c r="A72" s="4" t="s">
        <v>136</v>
      </c>
      <c r="B72" t="str">
        <f t="shared" si="1"/>
        <v xml:space="preserve">Свинина «Деликатесная» </v>
      </c>
    </row>
    <row r="73" spans="1:2" ht="15" thickBot="1" x14ac:dyDescent="0.35">
      <c r="A73" s="4" t="s">
        <v>137</v>
      </c>
      <c r="B73" t="str">
        <f t="shared" si="1"/>
        <v xml:space="preserve">Свинина по-дежонски </v>
      </c>
    </row>
    <row r="74" spans="1:2" ht="15" thickBot="1" x14ac:dyDescent="0.35">
      <c r="A74" s="4" t="s">
        <v>138</v>
      </c>
      <c r="B74" t="str">
        <f t="shared" si="1"/>
        <v>Свинина запеченная с вялеными помидорами</v>
      </c>
    </row>
    <row r="75" spans="1:2" ht="15" thickBot="1" x14ac:dyDescent="0.35">
      <c r="A75" s="4" t="s">
        <v>139</v>
      </c>
      <c r="B75" t="str">
        <f t="shared" si="1"/>
        <v>Буженина с соусом</v>
      </c>
    </row>
    <row r="76" spans="1:2" ht="15" thickBot="1" x14ac:dyDescent="0.35">
      <c r="A76" s="4" t="s">
        <v>140</v>
      </c>
      <c r="B76" t="str">
        <f t="shared" si="1"/>
        <v>Эскалоп, Эскалоп с луком</v>
      </c>
    </row>
    <row r="77" spans="1:2" ht="15" thickBot="1" x14ac:dyDescent="0.35">
      <c r="A77" s="4" t="s">
        <v>141</v>
      </c>
      <c r="B77" t="str">
        <f t="shared" si="1"/>
        <v>Эскалоп с луком  и перцем болгарским</v>
      </c>
    </row>
    <row r="78" spans="1:2" ht="15" thickBot="1" x14ac:dyDescent="0.35">
      <c r="A78" s="4" t="s">
        <v>142</v>
      </c>
      <c r="B78" t="str">
        <f t="shared" si="1"/>
        <v>Эскалоп с помидорами</v>
      </c>
    </row>
    <row r="79" spans="1:2" ht="15" thickBot="1" x14ac:dyDescent="0.35">
      <c r="A79" s="4" t="s">
        <v>143</v>
      </c>
      <c r="B79" t="str">
        <f t="shared" si="1"/>
        <v>Поджарка</v>
      </c>
    </row>
    <row r="80" spans="1:2" ht="15" thickBot="1" x14ac:dyDescent="0.35">
      <c r="A80" s="4" t="s">
        <v>144</v>
      </c>
      <c r="B80" t="str">
        <f t="shared" si="1"/>
        <v xml:space="preserve">Курземес  строгановский </v>
      </c>
    </row>
    <row r="81" spans="1:2" ht="15" thickBot="1" x14ac:dyDescent="0.35">
      <c r="A81" s="4" t="s">
        <v>145</v>
      </c>
      <c r="B81" t="str">
        <f t="shared" si="1"/>
        <v>Свинина, тушенная  с  ананасом</v>
      </c>
    </row>
    <row r="82" spans="1:2" ht="15" thickBot="1" x14ac:dyDescent="0.35">
      <c r="A82" s="4" t="s">
        <v>300</v>
      </c>
      <c r="B82" t="str">
        <f t="shared" si="1"/>
        <v>Свинина, тушенная  с  кукурузой</v>
      </c>
    </row>
    <row r="83" spans="1:2" ht="15" thickBot="1" x14ac:dyDescent="0.35">
      <c r="A83" s="4" t="s">
        <v>301</v>
      </c>
      <c r="B83" t="str">
        <f t="shared" si="1"/>
        <v>Свинина, тушенная  с  баклажанами</v>
      </c>
    </row>
    <row r="84" spans="1:2" ht="15" thickBot="1" x14ac:dyDescent="0.35">
      <c r="A84" s="4" t="s">
        <v>146</v>
      </c>
      <c r="B84" t="str">
        <f t="shared" si="1"/>
        <v>Свинина жареная с грибами и луком</v>
      </c>
    </row>
    <row r="85" spans="1:2" ht="15" thickBot="1" x14ac:dyDescent="0.35">
      <c r="A85" s="4" t="s">
        <v>147</v>
      </c>
      <c r="B85" t="str">
        <f t="shared" si="1"/>
        <v>Свинина жареная с перцем</v>
      </c>
    </row>
    <row r="86" spans="1:2" ht="15" thickBot="1" x14ac:dyDescent="0.35">
      <c r="A86" s="4" t="s">
        <v>148</v>
      </c>
      <c r="B86" t="str">
        <f t="shared" si="1"/>
        <v>Свинина жареная с луком</v>
      </c>
    </row>
    <row r="87" spans="1:2" ht="15" thickBot="1" x14ac:dyDescent="0.35">
      <c r="A87" s="4" t="s">
        <v>149</v>
      </c>
      <c r="B87" t="str">
        <f t="shared" si="1"/>
        <v xml:space="preserve">Свинина жареная  </v>
      </c>
    </row>
    <row r="88" spans="1:2" ht="15" thickBot="1" x14ac:dyDescent="0.35">
      <c r="A88" s="4" t="s">
        <v>150</v>
      </c>
      <c r="B88" t="str">
        <f t="shared" si="1"/>
        <v>Трубочки с люля (фарш.мясн.грибы.сл.тесто.вяленая клюква)</v>
      </c>
    </row>
    <row r="89" spans="1:2" ht="15" thickBot="1" x14ac:dyDescent="0.35">
      <c r="A89" s="4" t="s">
        <v>151</v>
      </c>
      <c r="B89" t="str">
        <f t="shared" si="1"/>
        <v>Куры, тушеные с ананасом</v>
      </c>
    </row>
    <row r="90" spans="1:2" ht="15" thickBot="1" x14ac:dyDescent="0.35">
      <c r="A90" s="4" t="s">
        <v>152</v>
      </c>
      <c r="B90" t="str">
        <f t="shared" si="1"/>
        <v>Куры, тушеные с грибами</v>
      </c>
    </row>
    <row r="91" spans="1:2" ht="15" thickBot="1" x14ac:dyDescent="0.35">
      <c r="A91" s="4" t="s">
        <v>302</v>
      </c>
      <c r="B91" t="str">
        <f t="shared" si="1"/>
        <v>Куры, тушеные с грибами в сметанном соусе</v>
      </c>
    </row>
    <row r="92" spans="1:2" ht="15" thickBot="1" x14ac:dyDescent="0.35">
      <c r="A92" s="4" t="s">
        <v>303</v>
      </c>
      <c r="B92" t="str">
        <f t="shared" si="1"/>
        <v>Куры, тушеные с грибами в сметано-грибном соусе</v>
      </c>
    </row>
    <row r="93" spans="1:2" ht="15" thickBot="1" x14ac:dyDescent="0.35">
      <c r="A93" s="4" t="s">
        <v>304</v>
      </c>
      <c r="B93" t="str">
        <f t="shared" si="1"/>
        <v>Куры, тушеные с грибами в томатном соусе</v>
      </c>
    </row>
    <row r="94" spans="1:2" ht="15" thickBot="1" x14ac:dyDescent="0.35">
      <c r="A94" s="4" t="s">
        <v>305</v>
      </c>
      <c r="B94" t="str">
        <f t="shared" si="1"/>
        <v>Куры, тушеные с грибами в сырном соусе</v>
      </c>
    </row>
    <row r="95" spans="1:2" ht="15" thickBot="1" x14ac:dyDescent="0.35">
      <c r="A95" s="4" t="s">
        <v>153</v>
      </c>
      <c r="B95" t="str">
        <f t="shared" si="1"/>
        <v>Курица по-венгерски</v>
      </c>
    </row>
    <row r="96" spans="1:2" ht="15" thickBot="1" x14ac:dyDescent="0.35">
      <c r="A96" s="4" t="s">
        <v>154</v>
      </c>
      <c r="B96" t="str">
        <f t="shared" si="1"/>
        <v>Куриная ножка «Ряба»</v>
      </c>
    </row>
    <row r="97" spans="1:2" ht="15" thickBot="1" x14ac:dyDescent="0.35">
      <c r="A97" s="4" t="s">
        <v>155</v>
      </c>
      <c r="B97" t="str">
        <f t="shared" si="1"/>
        <v xml:space="preserve">Курица «Мираж» </v>
      </c>
    </row>
    <row r="98" spans="1:2" ht="15" thickBot="1" x14ac:dyDescent="0.35">
      <c r="A98" s="4" t="s">
        <v>156</v>
      </c>
      <c r="B98" t="str">
        <f t="shared" si="1"/>
        <v>Куры в ореховой заливке (орех.арахис.чеснок.пассер.овощная)</v>
      </c>
    </row>
    <row r="99" spans="1:2" ht="15" thickBot="1" x14ac:dyDescent="0.35">
      <c r="A99" s="4" t="s">
        <v>157</v>
      </c>
      <c r="B99" t="str">
        <f t="shared" si="1"/>
        <v>Куры жареные</v>
      </c>
    </row>
    <row r="100" spans="1:2" ht="15" thickBot="1" x14ac:dyDescent="0.35">
      <c r="A100" s="4" t="s">
        <v>158</v>
      </c>
      <c r="B100" t="str">
        <f t="shared" si="1"/>
        <v>Филе куриное в соусе терияки</v>
      </c>
    </row>
    <row r="101" spans="1:2" ht="15" thickBot="1" x14ac:dyDescent="0.35">
      <c r="A101" s="4" t="s">
        <v>159</v>
      </c>
      <c r="B101" t="str">
        <f t="shared" si="1"/>
        <v xml:space="preserve">Филе куриное запеченное с маслинами                                               </v>
      </c>
    </row>
    <row r="102" spans="1:2" ht="15" thickBot="1" x14ac:dyDescent="0.35">
      <c r="A102" s="4" t="s">
        <v>160</v>
      </c>
      <c r="B102" t="str">
        <f t="shared" si="1"/>
        <v xml:space="preserve">Филе по-испански </v>
      </c>
    </row>
    <row r="103" spans="1:2" ht="15" thickBot="1" x14ac:dyDescent="0.35">
      <c r="A103" s="4" t="s">
        <v>161</v>
      </c>
      <c r="B103" t="str">
        <f t="shared" si="1"/>
        <v xml:space="preserve">Филе по-восточному </v>
      </c>
    </row>
    <row r="104" spans="1:2" ht="15" thickBot="1" x14ac:dyDescent="0.35">
      <c r="A104" s="4" t="s">
        <v>162</v>
      </c>
      <c r="B104" t="str">
        <f t="shared" si="1"/>
        <v xml:space="preserve">Филе по-мексикански </v>
      </c>
    </row>
    <row r="105" spans="1:2" ht="15" thickBot="1" x14ac:dyDescent="0.35">
      <c r="A105" s="4" t="s">
        <v>163</v>
      </c>
      <c r="B105" t="str">
        <f t="shared" si="1"/>
        <v>Филе куриное тушеное с имбирем и грибами</v>
      </c>
    </row>
    <row r="106" spans="1:2" ht="15" thickBot="1" x14ac:dyDescent="0.35">
      <c r="A106" s="4" t="s">
        <v>306</v>
      </c>
      <c r="B106" t="str">
        <f t="shared" si="1"/>
        <v>Филе куриное тушеное с помидорами и перцем</v>
      </c>
    </row>
    <row r="107" spans="1:2" ht="15" thickBot="1" x14ac:dyDescent="0.35">
      <c r="A107" s="4" t="s">
        <v>164</v>
      </c>
      <c r="B107" t="str">
        <f t="shared" si="1"/>
        <v>Филе куриное  в  сливочном  соусе</v>
      </c>
    </row>
    <row r="108" spans="1:2" ht="15" thickBot="1" x14ac:dyDescent="0.35">
      <c r="A108" s="4" t="s">
        <v>165</v>
      </c>
      <c r="B108" t="str">
        <f t="shared" si="1"/>
        <v>Филе куриное с грибами</v>
      </c>
    </row>
    <row r="109" spans="1:2" ht="15" thickBot="1" x14ac:dyDescent="0.35">
      <c r="A109" s="4" t="s">
        <v>166</v>
      </c>
      <c r="B109" t="str">
        <f t="shared" si="1"/>
        <v>Филе куриное с фасолью</v>
      </c>
    </row>
    <row r="110" spans="1:2" ht="15" thickBot="1" x14ac:dyDescent="0.35">
      <c r="A110" s="4" t="s">
        <v>167</v>
      </c>
      <c r="B110" t="str">
        <f t="shared" si="1"/>
        <v>Филе куриное с ананасом</v>
      </c>
    </row>
    <row r="111" spans="1:2" ht="15" thickBot="1" x14ac:dyDescent="0.35">
      <c r="A111" s="4" t="s">
        <v>168</v>
      </c>
      <c r="B111" t="str">
        <f t="shared" si="1"/>
        <v>Куриные крылышки жареные</v>
      </c>
    </row>
    <row r="112" spans="1:2" ht="15" thickBot="1" x14ac:dyDescent="0.35">
      <c r="A112" s="4" t="s">
        <v>169</v>
      </c>
      <c r="B112" t="str">
        <f t="shared" si="1"/>
        <v>Куриные крылышки в медовой заливке</v>
      </c>
    </row>
    <row r="113" spans="1:2" ht="15" thickBot="1" x14ac:dyDescent="0.35">
      <c r="A113" s="4" t="s">
        <v>170</v>
      </c>
      <c r="B113" t="str">
        <f t="shared" si="1"/>
        <v>Цыплята-табака</v>
      </c>
    </row>
    <row r="114" spans="1:2" ht="15" thickBot="1" x14ac:dyDescent="0.35">
      <c r="A114" s="4" t="s">
        <v>171</v>
      </c>
      <c r="B114" t="str">
        <f t="shared" si="1"/>
        <v>Шницель Столичный</v>
      </c>
    </row>
    <row r="115" spans="1:2" ht="15" thickBot="1" x14ac:dyDescent="0.35">
      <c r="A115" s="4" t="s">
        <v>172</v>
      </c>
      <c r="B115" t="str">
        <f t="shared" si="1"/>
        <v>Чахохбили</v>
      </c>
    </row>
    <row r="116" spans="1:2" ht="15" thickBot="1" x14ac:dyDescent="0.35">
      <c r="A116" s="4" t="s">
        <v>173</v>
      </c>
      <c r="B116" t="str">
        <f t="shared" si="1"/>
        <v>Чахохбили из филе кур</v>
      </c>
    </row>
    <row r="117" spans="1:2" ht="15" thickBot="1" x14ac:dyDescent="0.35">
      <c r="A117" s="4" t="s">
        <v>174</v>
      </c>
      <c r="B117" t="str">
        <f t="shared" si="1"/>
        <v>Желудки куриные тушеные с луком</v>
      </c>
    </row>
    <row r="118" spans="1:2" ht="15" thickBot="1" x14ac:dyDescent="0.35">
      <c r="A118" s="4" t="s">
        <v>175</v>
      </c>
      <c r="B118" t="str">
        <f t="shared" si="1"/>
        <v>Печень куриная тушеная  с луком</v>
      </c>
    </row>
    <row r="119" spans="1:2" ht="15" thickBot="1" x14ac:dyDescent="0.35">
      <c r="A119" s="4" t="s">
        <v>176</v>
      </c>
      <c r="B119" t="str">
        <f t="shared" si="1"/>
        <v>Сердечки куриные тушеные  с луком</v>
      </c>
    </row>
    <row r="120" spans="1:2" ht="15" thickBot="1" x14ac:dyDescent="0.35">
      <c r="A120" s="4" t="s">
        <v>177</v>
      </c>
      <c r="B120" t="str">
        <f t="shared" si="1"/>
        <v>Печень куриная с грибами</v>
      </c>
    </row>
    <row r="121" spans="1:2" ht="15" thickBot="1" x14ac:dyDescent="0.35">
      <c r="A121" s="4" t="s">
        <v>178</v>
      </c>
      <c r="B121" t="str">
        <f t="shared" si="1"/>
        <v>Паприкаш (субпрод.куриные.лук.пер.болг.)</v>
      </c>
    </row>
    <row r="122" spans="1:2" ht="15" thickBot="1" x14ac:dyDescent="0.35">
      <c r="A122" s="4" t="s">
        <v>179</v>
      </c>
      <c r="B122" t="str">
        <f t="shared" si="1"/>
        <v>Котлеты  куриные</v>
      </c>
    </row>
    <row r="123" spans="1:2" ht="15" thickBot="1" x14ac:dyDescent="0.35">
      <c r="A123" s="4" t="s">
        <v>180</v>
      </c>
      <c r="B123" t="str">
        <f t="shared" si="1"/>
        <v>Котлеты куриные фаршированные маслом</v>
      </c>
    </row>
    <row r="124" spans="1:2" ht="15" thickBot="1" x14ac:dyDescent="0.35">
      <c r="A124" s="4" t="s">
        <v>181</v>
      </c>
      <c r="B124" t="str">
        <f t="shared" si="1"/>
        <v xml:space="preserve">Горбуша  тушеная с овощами </v>
      </c>
    </row>
    <row r="125" spans="1:2" ht="15" thickBot="1" x14ac:dyDescent="0.35">
      <c r="A125" s="4" t="s">
        <v>182</v>
      </c>
      <c r="B125" t="str">
        <f t="shared" si="1"/>
        <v xml:space="preserve">Горбуша, тушенная в сметанном соусе с овощами </v>
      </c>
    </row>
    <row r="126" spans="1:2" ht="15" thickBot="1" x14ac:dyDescent="0.35">
      <c r="A126" s="4" t="s">
        <v>183</v>
      </c>
      <c r="B126" t="str">
        <f t="shared" si="1"/>
        <v>Горбуша, тушеная с  помидорами и луком</v>
      </c>
    </row>
    <row r="127" spans="1:2" ht="15" thickBot="1" x14ac:dyDescent="0.35">
      <c r="A127" s="4" t="s">
        <v>184</v>
      </c>
      <c r="B127" t="str">
        <f t="shared" si="1"/>
        <v>Горбуша, тушеная  с луком и майонезом</v>
      </c>
    </row>
    <row r="128" spans="1:2" ht="15" thickBot="1" x14ac:dyDescent="0.35">
      <c r="A128" s="4" t="s">
        <v>185</v>
      </c>
      <c r="B128" t="str">
        <f t="shared" si="1"/>
        <v>Горбуша запеченная  с сыром,  помид. и майонезом</v>
      </c>
    </row>
    <row r="129" spans="1:2" ht="15" thickBot="1" x14ac:dyDescent="0.35">
      <c r="A129" s="4" t="s">
        <v>186</v>
      </c>
      <c r="B129" t="str">
        <f t="shared" si="1"/>
        <v>Горбуша под польским соусом</v>
      </c>
    </row>
    <row r="130" spans="1:2" ht="15" thickBot="1" x14ac:dyDescent="0.35">
      <c r="A130" s="4" t="s">
        <v>187</v>
      </c>
      <c r="B130" t="str">
        <f t="shared" ref="B130:B173" si="2">IF(ISERROR(FIND("/",A130)),A130,LEFTB(A130,FIND("/",A130)-1))</f>
        <v>Пикша, треска, минтай запеченная с</v>
      </c>
    </row>
    <row r="131" spans="1:2" ht="15" thickBot="1" x14ac:dyDescent="0.35">
      <c r="A131" s="4" t="s">
        <v>188</v>
      </c>
      <c r="B131" t="str">
        <f t="shared" si="2"/>
        <v>Пикша тушеная с овощами</v>
      </c>
    </row>
    <row r="132" spans="1:2" ht="15" thickBot="1" x14ac:dyDescent="0.35">
      <c r="A132" s="4" t="s">
        <v>307</v>
      </c>
      <c r="B132" t="str">
        <f t="shared" si="2"/>
        <v>Пикша тушеная с помид. с луком</v>
      </c>
    </row>
    <row r="133" spans="1:2" ht="15" thickBot="1" x14ac:dyDescent="0.35">
      <c r="A133" s="4" t="s">
        <v>308</v>
      </c>
      <c r="B133" t="str">
        <f t="shared" si="2"/>
        <v>Пикша тушеная в сметанном соусе</v>
      </c>
    </row>
    <row r="134" spans="1:2" ht="15" thickBot="1" x14ac:dyDescent="0.35">
      <c r="A134" s="4" t="s">
        <v>309</v>
      </c>
      <c r="B134" t="str">
        <f t="shared" si="2"/>
        <v>Пикша тушеная с луком си майонезом</v>
      </c>
    </row>
    <row r="135" spans="1:2" ht="15" thickBot="1" x14ac:dyDescent="0.35">
      <c r="A135" s="4" t="s">
        <v>189</v>
      </c>
      <c r="B135" t="str">
        <f t="shared" si="2"/>
        <v>Горбуша жареная</v>
      </c>
    </row>
    <row r="136" spans="1:2" ht="15" thickBot="1" x14ac:dyDescent="0.35">
      <c r="A136" s="4" t="s">
        <v>190</v>
      </c>
      <c r="B136" t="str">
        <f t="shared" si="2"/>
        <v xml:space="preserve">Горбуша жареная </v>
      </c>
    </row>
    <row r="137" spans="1:2" ht="15" thickBot="1" x14ac:dyDescent="0.35">
      <c r="A137" s="4" t="s">
        <v>191</v>
      </c>
      <c r="B137" t="str">
        <f t="shared" si="2"/>
        <v>Горбуша жареная с луком</v>
      </c>
    </row>
    <row r="138" spans="1:2" ht="15" thickBot="1" x14ac:dyDescent="0.35">
      <c r="A138" s="4" t="s">
        <v>192</v>
      </c>
      <c r="B138" t="str">
        <f t="shared" si="2"/>
        <v>Кета жареная</v>
      </c>
    </row>
    <row r="139" spans="1:2" ht="15" thickBot="1" x14ac:dyDescent="0.35">
      <c r="A139" s="4" t="s">
        <v>193</v>
      </c>
      <c r="B139" t="str">
        <f t="shared" si="2"/>
        <v>Скумбрия жареная</v>
      </c>
    </row>
    <row r="140" spans="1:2" ht="15" thickBot="1" x14ac:dyDescent="0.35">
      <c r="A140" s="4" t="s">
        <v>194</v>
      </c>
      <c r="B140" t="str">
        <f t="shared" si="2"/>
        <v>Скумбрия жареная с луком</v>
      </c>
    </row>
    <row r="141" spans="1:2" ht="15" thickBot="1" x14ac:dyDescent="0.35">
      <c r="A141" s="4" t="s">
        <v>195</v>
      </c>
      <c r="B141" t="str">
        <f t="shared" si="2"/>
        <v xml:space="preserve">Терпуг жареный                      </v>
      </c>
    </row>
    <row r="142" spans="1:2" ht="15" thickBot="1" x14ac:dyDescent="0.35">
      <c r="A142" s="4" t="s">
        <v>196</v>
      </c>
      <c r="B142" t="str">
        <f t="shared" si="2"/>
        <v>Пикша, Треска, Хек жареная</v>
      </c>
    </row>
    <row r="143" spans="1:2" ht="15" thickBot="1" x14ac:dyDescent="0.35">
      <c r="A143" s="4" t="s">
        <v>197</v>
      </c>
      <c r="B143" t="str">
        <f t="shared" si="2"/>
        <v xml:space="preserve">Камбала жареная         </v>
      </c>
    </row>
    <row r="144" spans="1:2" ht="15" thickBot="1" x14ac:dyDescent="0.35">
      <c r="A144" s="4" t="s">
        <v>198</v>
      </c>
      <c r="B144" t="str">
        <f t="shared" si="2"/>
        <v>Минтай жареный</v>
      </c>
    </row>
    <row r="145" spans="1:2" ht="15" thickBot="1" x14ac:dyDescent="0.35">
      <c r="A145" s="4" t="s">
        <v>199</v>
      </c>
      <c r="B145" t="str">
        <f t="shared" si="2"/>
        <v>Скумбрия припущенная с луком</v>
      </c>
    </row>
    <row r="146" spans="1:2" ht="15" thickBot="1" x14ac:dyDescent="0.35">
      <c r="A146" s="4" t="s">
        <v>200</v>
      </c>
      <c r="B146" t="str">
        <f t="shared" si="2"/>
        <v>Кальмары жареные с луком</v>
      </c>
    </row>
    <row r="147" spans="1:2" ht="15" thickBot="1" x14ac:dyDescent="0.35">
      <c r="A147" s="4" t="s">
        <v>201</v>
      </c>
      <c r="B147" t="str">
        <f t="shared" si="2"/>
        <v>Котлеты рыбные</v>
      </c>
    </row>
    <row r="148" spans="1:2" ht="15" thickBot="1" x14ac:dyDescent="0.35">
      <c r="A148" s="4" t="s">
        <v>202</v>
      </c>
      <c r="B148" t="str">
        <f t="shared" si="2"/>
        <v>Поджарка из рыбы</v>
      </c>
    </row>
    <row r="149" spans="1:2" ht="15" thickBot="1" x14ac:dyDescent="0.35">
      <c r="A149" s="4" t="s">
        <v>203</v>
      </c>
      <c r="B149" t="str">
        <f t="shared" si="2"/>
        <v>Баклажаны запеченные с куриным филе</v>
      </c>
    </row>
    <row r="150" spans="1:2" ht="15" thickBot="1" x14ac:dyDescent="0.35">
      <c r="A150" s="4" t="s">
        <v>204</v>
      </c>
      <c r="B150" t="str">
        <f t="shared" si="2"/>
        <v>Баклажаны фаршированные со сметаной</v>
      </c>
    </row>
    <row r="151" spans="1:2" ht="15" thickBot="1" x14ac:dyDescent="0.35">
      <c r="A151" s="4" t="s">
        <v>205</v>
      </c>
      <c r="B151" t="str">
        <f t="shared" si="2"/>
        <v>Перец фаршированный мясом и рисом со сметаной</v>
      </c>
    </row>
    <row r="152" spans="1:2" ht="15" thickBot="1" x14ac:dyDescent="0.35">
      <c r="A152" s="4" t="s">
        <v>206</v>
      </c>
      <c r="B152" t="str">
        <f t="shared" si="2"/>
        <v xml:space="preserve">Запеканка творожная со сметаной </v>
      </c>
    </row>
    <row r="153" spans="1:2" ht="15" thickBot="1" x14ac:dyDescent="0.35">
      <c r="A153" s="4" t="s">
        <v>207</v>
      </c>
      <c r="B153" t="str">
        <f t="shared" si="2"/>
        <v>Сырники из творога со сметаной или со сг.молоком</v>
      </c>
    </row>
    <row r="154" spans="1:2" ht="15" thickBot="1" x14ac:dyDescent="0.35">
      <c r="A154" s="4" t="s">
        <v>208</v>
      </c>
      <c r="B154" t="str">
        <f t="shared" si="2"/>
        <v>Оладьи с изюмом со сметаной или со сг.молоком</v>
      </c>
    </row>
    <row r="155" spans="1:2" ht="15" thickBot="1" x14ac:dyDescent="0.35">
      <c r="A155" s="4" t="s">
        <v>209</v>
      </c>
      <c r="B155" t="str">
        <f t="shared" si="2"/>
        <v>Оладьи из кабачков со сметаной</v>
      </c>
    </row>
    <row r="156" spans="1:2" ht="15" thickBot="1" x14ac:dyDescent="0.35">
      <c r="A156" s="4" t="s">
        <v>210</v>
      </c>
      <c r="B156" t="str">
        <f t="shared" si="2"/>
        <v>Манник тыквенный со сметаной</v>
      </c>
    </row>
    <row r="157" spans="1:2" ht="15" thickBot="1" x14ac:dyDescent="0.35">
      <c r="A157" s="4" t="s">
        <v>211</v>
      </c>
      <c r="B157" t="str">
        <f t="shared" si="2"/>
        <v>Блинчики  со сметаной или со сг.молоком</v>
      </c>
    </row>
    <row r="158" spans="1:2" ht="15" thickBot="1" x14ac:dyDescent="0.35">
      <c r="A158" s="4" t="s">
        <v>212</v>
      </c>
      <c r="B158" t="str">
        <f t="shared" si="2"/>
        <v>Блинчики с творогом со сметаной  или со сг.молоком</v>
      </c>
    </row>
    <row r="159" spans="1:2" ht="15" thickBot="1" x14ac:dyDescent="0.35">
      <c r="A159" s="4" t="s">
        <v>213</v>
      </c>
      <c r="B159" t="str">
        <f t="shared" si="2"/>
        <v xml:space="preserve">Блинчики с яблоками со сметаной или со сг.молоком                                      </v>
      </c>
    </row>
    <row r="160" spans="1:2" ht="15" thickBot="1" x14ac:dyDescent="0.35">
      <c r="A160" s="4" t="s">
        <v>214</v>
      </c>
      <c r="B160" t="str">
        <f t="shared" si="2"/>
        <v>Блинчики с мясным фаршем со сметаной или с маслом</v>
      </c>
    </row>
    <row r="161" spans="1:2" ht="15" thickBot="1" x14ac:dyDescent="0.35">
      <c r="A161" s="4" t="s">
        <v>314</v>
      </c>
      <c r="B161" t="str">
        <f t="shared" si="2"/>
        <v xml:space="preserve">Блинчики с сыром с семгой                            </v>
      </c>
    </row>
    <row r="162" spans="1:2" ht="15" thickBot="1" x14ac:dyDescent="0.35">
      <c r="A162" s="4" t="s">
        <v>315</v>
      </c>
      <c r="B162" t="str">
        <f t="shared" si="2"/>
        <v>Блинчики с повидлом</v>
      </c>
    </row>
    <row r="163" spans="1:2" ht="15" thickBot="1" x14ac:dyDescent="0.35">
      <c r="A163" s="4" t="s">
        <v>316</v>
      </c>
      <c r="B163" t="str">
        <f t="shared" si="2"/>
        <v xml:space="preserve">Блинчики с маслом     </v>
      </c>
    </row>
    <row r="164" spans="1:2" ht="15" thickBot="1" x14ac:dyDescent="0.35">
      <c r="A164" s="4" t="s">
        <v>215</v>
      </c>
      <c r="B164" t="str">
        <f t="shared" si="2"/>
        <v>Мясо в хрусте</v>
      </c>
    </row>
    <row r="165" spans="1:2" ht="15" thickBot="1" x14ac:dyDescent="0.35">
      <c r="A165" s="4" t="s">
        <v>216</v>
      </c>
      <c r="B165" t="str">
        <f t="shared" si="2"/>
        <v>Манты со сметаной</v>
      </c>
    </row>
    <row r="166" spans="1:2" ht="15" thickBot="1" x14ac:dyDescent="0.35">
      <c r="A166" s="4" t="s">
        <v>217</v>
      </c>
      <c r="B166" t="str">
        <f t="shared" si="2"/>
        <v>Лазанья (фарш.мясн.лук.сыр. тесто)</v>
      </c>
    </row>
    <row r="167" spans="1:2" ht="15" thickBot="1" x14ac:dyDescent="0.35">
      <c r="A167" s="4" t="s">
        <v>218</v>
      </c>
      <c r="B167" t="str">
        <f t="shared" si="2"/>
        <v>Каша молочная рисовая с маслом</v>
      </c>
    </row>
    <row r="168" spans="1:2" ht="15" thickBot="1" x14ac:dyDescent="0.35">
      <c r="A168" s="4" t="s">
        <v>310</v>
      </c>
      <c r="B168" t="str">
        <f t="shared" si="2"/>
        <v>Каша молочная пшенная,  пшеничная с маслом</v>
      </c>
    </row>
    <row r="169" spans="1:2" ht="15" thickBot="1" x14ac:dyDescent="0.35">
      <c r="A169" s="4" t="s">
        <v>311</v>
      </c>
      <c r="B169" t="str">
        <f t="shared" si="2"/>
        <v>Каша молочная овсяная</v>
      </c>
    </row>
    <row r="170" spans="1:2" ht="15" thickBot="1" x14ac:dyDescent="0.35">
      <c r="A170" s="4" t="s">
        <v>312</v>
      </c>
      <c r="B170" t="str">
        <f t="shared" si="2"/>
        <v>Каша молочная пшенная с тыквой с маслом</v>
      </c>
    </row>
    <row r="171" spans="1:2" ht="15" thickBot="1" x14ac:dyDescent="0.35">
      <c r="A171" s="4" t="s">
        <v>219</v>
      </c>
      <c r="B171" t="str">
        <f t="shared" si="2"/>
        <v>Вареники с  картоф. и луком  со сметаной</v>
      </c>
    </row>
    <row r="172" spans="1:2" ht="15" thickBot="1" x14ac:dyDescent="0.35">
      <c r="A172" s="4" t="s">
        <v>313</v>
      </c>
      <c r="B172" t="str">
        <f t="shared" si="2"/>
        <v>Вареники с  творогом со сметаной</v>
      </c>
    </row>
    <row r="173" spans="1:2" ht="15" thickBot="1" x14ac:dyDescent="0.35">
      <c r="A173" s="4" t="s">
        <v>220</v>
      </c>
      <c r="B173" t="str">
        <f t="shared" si="2"/>
        <v>Хуран  кукли со сметаной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D368-48FE-4663-A413-729DB5077B11}">
  <dimension ref="A1:J31"/>
  <sheetViews>
    <sheetView topLeftCell="A8" workbookViewId="0">
      <selection activeCell="C1" sqref="C1:C30"/>
    </sheetView>
  </sheetViews>
  <sheetFormatPr defaultRowHeight="14.4" x14ac:dyDescent="0.3"/>
  <cols>
    <col min="1" max="2" width="57.88671875" bestFit="1" customWidth="1"/>
  </cols>
  <sheetData>
    <row r="1" spans="1:10" ht="15" thickBot="1" x14ac:dyDescent="0.35">
      <c r="A1" s="3" t="s">
        <v>222</v>
      </c>
      <c r="B1" t="str">
        <f>IF(ISERROR(FIND("(",A1)),A1,LEFTB(A1,FIND("(",A1)-1))</f>
        <v>Солянка сборная мясная со сметаной</v>
      </c>
      <c r="C1" s="8">
        <v>120</v>
      </c>
    </row>
    <row r="2" spans="1:10" ht="15" thickBot="1" x14ac:dyDescent="0.35">
      <c r="A2" s="4" t="s">
        <v>223</v>
      </c>
      <c r="B2" t="str">
        <f t="shared" ref="B2:B30" si="0">IF(ISERROR(FIND("(",A2)),A2,LEFTB(A2,FIND("(",A2)-1))</f>
        <v xml:space="preserve">Боз-баш </v>
      </c>
      <c r="C2" s="9">
        <v>144</v>
      </c>
    </row>
    <row r="3" spans="1:10" ht="15" thickBot="1" x14ac:dyDescent="0.35">
      <c r="A3" s="4" t="s">
        <v>224</v>
      </c>
      <c r="B3" t="str">
        <f t="shared" si="0"/>
        <v>Борщ из св.капусты с мясом со сметаной</v>
      </c>
      <c r="C3" s="9">
        <v>55</v>
      </c>
    </row>
    <row r="4" spans="1:10" ht="15" thickBot="1" x14ac:dyDescent="0.35">
      <c r="A4" s="4" t="s">
        <v>225</v>
      </c>
      <c r="B4" t="str">
        <f t="shared" si="0"/>
        <v>Борщ Сибирский с фасолью с мясом со сметаной</v>
      </c>
      <c r="C4" s="9">
        <v>57</v>
      </c>
    </row>
    <row r="5" spans="1:10" ht="15" thickBot="1" x14ac:dyDescent="0.35">
      <c r="A5" s="4" t="s">
        <v>226</v>
      </c>
      <c r="B5" t="str">
        <f t="shared" si="0"/>
        <v xml:space="preserve">Дюч-шит </v>
      </c>
      <c r="C5" s="9">
        <v>111</v>
      </c>
    </row>
    <row r="6" spans="1:10" ht="15" thickBot="1" x14ac:dyDescent="0.35">
      <c r="A6" s="4" t="s">
        <v>227</v>
      </c>
      <c r="B6" t="str">
        <f t="shared" si="0"/>
        <v>Какай-шурпи</v>
      </c>
      <c r="C6" s="9">
        <v>89</v>
      </c>
    </row>
    <row r="7" spans="1:10" ht="15" thickBot="1" x14ac:dyDescent="0.35">
      <c r="A7" s="4" t="s">
        <v>228</v>
      </c>
      <c r="B7" t="str">
        <f t="shared" si="0"/>
        <v xml:space="preserve">Лагман </v>
      </c>
      <c r="C7" s="9">
        <v>140</v>
      </c>
      <c r="J7" t="s">
        <v>319</v>
      </c>
    </row>
    <row r="8" spans="1:10" ht="15" thickBot="1" x14ac:dyDescent="0.35">
      <c r="A8" s="4" t="s">
        <v>229</v>
      </c>
      <c r="B8" t="str">
        <f t="shared" si="0"/>
        <v xml:space="preserve">Мампар </v>
      </c>
      <c r="C8" s="9">
        <v>118</v>
      </c>
    </row>
    <row r="9" spans="1:10" ht="15" thickBot="1" x14ac:dyDescent="0.35">
      <c r="A9" s="4" t="s">
        <v>230</v>
      </c>
      <c r="B9" t="str">
        <f t="shared" si="0"/>
        <v>Окрошка с колбасой со сметаной</v>
      </c>
      <c r="C9" s="9">
        <v>71</v>
      </c>
    </row>
    <row r="10" spans="1:10" ht="15" thickBot="1" x14ac:dyDescent="0.35">
      <c r="A10" s="4" t="s">
        <v>231</v>
      </c>
      <c r="B10" t="str">
        <f t="shared" si="0"/>
        <v>Пельмени с бульоном со сметаной</v>
      </c>
      <c r="C10" s="9">
        <v>60</v>
      </c>
    </row>
    <row r="11" spans="1:10" ht="15" thickBot="1" x14ac:dyDescent="0.35">
      <c r="A11" s="4" t="s">
        <v>232</v>
      </c>
      <c r="B11" t="str">
        <f t="shared" si="0"/>
        <v>Рассольник ленинградский с мясом со сметаной</v>
      </c>
      <c r="C11" s="9">
        <v>55</v>
      </c>
    </row>
    <row r="12" spans="1:10" ht="15" thickBot="1" x14ac:dyDescent="0.35">
      <c r="A12" s="4" t="s">
        <v>233</v>
      </c>
      <c r="B12" t="str">
        <f t="shared" si="0"/>
        <v>Рассольник домашний с мясом со сметаной</v>
      </c>
      <c r="C12" s="9">
        <v>58</v>
      </c>
    </row>
    <row r="13" spans="1:10" ht="15" thickBot="1" x14ac:dyDescent="0.35">
      <c r="A13" s="4" t="s">
        <v>234</v>
      </c>
      <c r="B13" t="str">
        <f t="shared" si="0"/>
        <v>Суп-харчо</v>
      </c>
      <c r="C13" s="9">
        <v>76</v>
      </c>
    </row>
    <row r="14" spans="1:10" ht="15" thickBot="1" x14ac:dyDescent="0.35">
      <c r="A14" s="4" t="s">
        <v>235</v>
      </c>
      <c r="B14" t="str">
        <f t="shared" si="0"/>
        <v>Суп картофельный с зел.горошком и мясными фрикадельками</v>
      </c>
      <c r="C14" s="9">
        <v>62</v>
      </c>
    </row>
    <row r="15" spans="1:10" ht="15" thickBot="1" x14ac:dyDescent="0.35">
      <c r="A15" s="4" t="s">
        <v>236</v>
      </c>
      <c r="B15" t="str">
        <f t="shared" si="0"/>
        <v>Суп картофельный с макаронами с курицей</v>
      </c>
      <c r="C15" s="9">
        <v>42</v>
      </c>
    </row>
    <row r="16" spans="1:10" ht="15" thickBot="1" x14ac:dyDescent="0.35">
      <c r="A16" s="4" t="s">
        <v>317</v>
      </c>
      <c r="B16" t="str">
        <f t="shared" si="0"/>
        <v xml:space="preserve">Суп картофельный с клецками с курицей     </v>
      </c>
      <c r="C16" s="9">
        <v>45</v>
      </c>
    </row>
    <row r="17" spans="1:3" ht="15" thickBot="1" x14ac:dyDescent="0.35">
      <c r="A17" s="4" t="s">
        <v>237</v>
      </c>
      <c r="B17" t="str">
        <f t="shared" si="0"/>
        <v>Суп картофельный с грибами</v>
      </c>
      <c r="C17" s="9">
        <v>42</v>
      </c>
    </row>
    <row r="18" spans="1:3" ht="15" thickBot="1" x14ac:dyDescent="0.35">
      <c r="A18" s="4" t="s">
        <v>238</v>
      </c>
      <c r="B18" t="str">
        <f t="shared" si="0"/>
        <v>Суп крестьянский с крупой с мясом со сметаной</v>
      </c>
      <c r="C18" s="9">
        <v>51</v>
      </c>
    </row>
    <row r="19" spans="1:3" ht="15" thickBot="1" x14ac:dyDescent="0.35">
      <c r="A19" s="4" t="s">
        <v>239</v>
      </c>
      <c r="B19" t="str">
        <f t="shared" si="0"/>
        <v>Суп картофельный с крупой с курицей</v>
      </c>
      <c r="C19" s="9">
        <v>41</v>
      </c>
    </row>
    <row r="20" spans="1:3" ht="15" thickBot="1" x14ac:dyDescent="0.35">
      <c r="A20" s="4" t="s">
        <v>240</v>
      </c>
      <c r="B20" t="str">
        <f t="shared" si="0"/>
        <v>Суп картофельный с рыбой</v>
      </c>
      <c r="C20" s="9">
        <v>43</v>
      </c>
    </row>
    <row r="21" spans="1:3" ht="15" thickBot="1" x14ac:dyDescent="0.35">
      <c r="A21" s="4" t="s">
        <v>241</v>
      </c>
      <c r="B21" t="str">
        <f t="shared" si="0"/>
        <v>Суп картофельный гороховый с мясом</v>
      </c>
      <c r="C21" s="9">
        <v>43</v>
      </c>
    </row>
    <row r="22" spans="1:3" ht="15" thickBot="1" x14ac:dyDescent="0.35">
      <c r="A22" s="4" t="s">
        <v>242</v>
      </c>
      <c r="B22" t="str">
        <f t="shared" si="0"/>
        <v>Суп картофельный с фасолью с мясом</v>
      </c>
      <c r="C22" s="9">
        <v>48</v>
      </c>
    </row>
    <row r="23" spans="1:3" ht="15" thickBot="1" x14ac:dyDescent="0.35">
      <c r="A23" s="4" t="s">
        <v>243</v>
      </c>
      <c r="B23" t="str">
        <f t="shared" si="0"/>
        <v>Суп - пюре с гренками</v>
      </c>
      <c r="C23" s="9">
        <v>59</v>
      </c>
    </row>
    <row r="24" spans="1:3" ht="15" thickBot="1" x14ac:dyDescent="0.35">
      <c r="A24" s="4" t="s">
        <v>244</v>
      </c>
      <c r="B24" t="str">
        <f t="shared" si="0"/>
        <v xml:space="preserve">Суп охотничий </v>
      </c>
      <c r="C24" s="9">
        <v>46</v>
      </c>
    </row>
    <row r="25" spans="1:3" ht="15" thickBot="1" x14ac:dyDescent="0.35">
      <c r="A25" s="4" t="s">
        <v>245</v>
      </c>
      <c r="B25" t="str">
        <f t="shared" si="0"/>
        <v xml:space="preserve">Суп Чили </v>
      </c>
      <c r="C25" s="9">
        <v>108</v>
      </c>
    </row>
    <row r="26" spans="1:3" ht="15" thickBot="1" x14ac:dyDescent="0.35">
      <c r="A26" s="4" t="s">
        <v>246</v>
      </c>
      <c r="B26" t="str">
        <f t="shared" si="0"/>
        <v xml:space="preserve">Чорбэ </v>
      </c>
      <c r="C26" s="9">
        <v>69</v>
      </c>
    </row>
    <row r="27" spans="1:3" ht="15" thickBot="1" x14ac:dyDescent="0.35">
      <c r="A27" s="4" t="s">
        <v>247</v>
      </c>
      <c r="B27" t="str">
        <f t="shared" si="0"/>
        <v xml:space="preserve">Шурпа </v>
      </c>
      <c r="C27" s="9">
        <v>110</v>
      </c>
    </row>
    <row r="28" spans="1:3" ht="15" thickBot="1" x14ac:dyDescent="0.35">
      <c r="A28" s="4" t="s">
        <v>248</v>
      </c>
      <c r="B28" t="str">
        <f t="shared" si="0"/>
        <v>Щи из св.капусты с мясом со сметаной</v>
      </c>
      <c r="C28" s="9">
        <v>57</v>
      </c>
    </row>
    <row r="29" spans="1:3" ht="15" thickBot="1" x14ac:dyDescent="0.35">
      <c r="A29" s="4" t="s">
        <v>249</v>
      </c>
      <c r="B29" t="str">
        <f t="shared" si="0"/>
        <v>Щи европейские с колбасой со сметаной</v>
      </c>
      <c r="C29" s="9">
        <v>47</v>
      </c>
    </row>
    <row r="30" spans="1:3" ht="15" thickBot="1" x14ac:dyDescent="0.35">
      <c r="A30" s="4" t="s">
        <v>250</v>
      </c>
      <c r="B30" t="str">
        <f t="shared" si="0"/>
        <v>Хашлама</v>
      </c>
      <c r="C30" s="9">
        <v>114</v>
      </c>
    </row>
    <row r="31" spans="1:3" ht="15" thickBot="1" x14ac:dyDescent="0.35">
      <c r="C31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5E29-D1CD-4341-B464-5F8E3F7E0960}">
  <dimension ref="A1:D18"/>
  <sheetViews>
    <sheetView tabSelected="1" workbookViewId="0">
      <selection activeCell="C1" sqref="C1:C18"/>
    </sheetView>
  </sheetViews>
  <sheetFormatPr defaultRowHeight="14.4" x14ac:dyDescent="0.3"/>
  <cols>
    <col min="1" max="1" width="40.21875" bestFit="1" customWidth="1"/>
    <col min="2" max="2" width="33.44140625" bestFit="1" customWidth="1"/>
  </cols>
  <sheetData>
    <row r="1" spans="1:4" ht="15" thickBot="1" x14ac:dyDescent="0.35">
      <c r="A1" s="3" t="s">
        <v>251</v>
      </c>
      <c r="B1" t="str">
        <f>IF(ISERROR(FIND("/",A1)),A1,LEFTB(A1,FIND("/",A1)-1))</f>
        <v>Пюре картофельное</v>
      </c>
      <c r="C1" s="8">
        <v>33</v>
      </c>
      <c r="D1">
        <v>0</v>
      </c>
    </row>
    <row r="2" spans="1:4" ht="15" thickBot="1" x14ac:dyDescent="0.35">
      <c r="A2" s="4" t="s">
        <v>252</v>
      </c>
      <c r="B2" t="str">
        <f t="shared" ref="B2:B18" si="0">IF(ISERROR(FIND("/",A2)),A2,LEFTB(A2,FIND("/",A2)-1))</f>
        <v>Капуста св. тушеная</v>
      </c>
      <c r="C2" s="9">
        <v>43</v>
      </c>
      <c r="D2">
        <v>0</v>
      </c>
    </row>
    <row r="3" spans="1:4" ht="15" thickBot="1" x14ac:dyDescent="0.35">
      <c r="A3" s="4" t="s">
        <v>253</v>
      </c>
      <c r="B3" t="str">
        <f t="shared" si="0"/>
        <v>Картофель жареный из сырого</v>
      </c>
      <c r="C3" s="9">
        <v>39</v>
      </c>
      <c r="D3">
        <v>0</v>
      </c>
    </row>
    <row r="4" spans="1:4" ht="15" thickBot="1" x14ac:dyDescent="0.35">
      <c r="A4" s="4" t="s">
        <v>318</v>
      </c>
      <c r="B4" t="str">
        <f t="shared" si="0"/>
        <v xml:space="preserve">Картофель по-крестьянски                    </v>
      </c>
      <c r="C4" s="9">
        <v>65</v>
      </c>
      <c r="D4">
        <v>0</v>
      </c>
    </row>
    <row r="5" spans="1:4" ht="15" thickBot="1" x14ac:dyDescent="0.35">
      <c r="A5" s="4" t="s">
        <v>254</v>
      </c>
      <c r="B5" t="str">
        <f t="shared" si="0"/>
        <v>Овощи паровые</v>
      </c>
      <c r="C5" s="9">
        <v>67</v>
      </c>
      <c r="D5">
        <v>0</v>
      </c>
    </row>
    <row r="6" spans="1:4" ht="15" thickBot="1" x14ac:dyDescent="0.35">
      <c r="A6" s="4" t="s">
        <v>255</v>
      </c>
      <c r="B6" t="str">
        <f t="shared" si="0"/>
        <v>Рагу овощное</v>
      </c>
      <c r="C6" s="9">
        <v>39</v>
      </c>
      <c r="D6">
        <v>0</v>
      </c>
    </row>
    <row r="7" spans="1:4" ht="15" thickBot="1" x14ac:dyDescent="0.35">
      <c r="A7" s="4" t="s">
        <v>256</v>
      </c>
      <c r="B7" t="str">
        <f t="shared" si="0"/>
        <v>Фасоль отварная с луком</v>
      </c>
      <c r="C7" s="9">
        <v>37</v>
      </c>
      <c r="D7">
        <v>0</v>
      </c>
    </row>
    <row r="8" spans="1:4" ht="15" thickBot="1" x14ac:dyDescent="0.35">
      <c r="A8" s="4" t="s">
        <v>257</v>
      </c>
      <c r="B8" t="str">
        <f t="shared" si="0"/>
        <v>Пюре из гороха</v>
      </c>
      <c r="C8" s="9">
        <v>20</v>
      </c>
      <c r="D8">
        <v>0</v>
      </c>
    </row>
    <row r="9" spans="1:4" ht="15" thickBot="1" x14ac:dyDescent="0.35">
      <c r="A9" s="4" t="s">
        <v>258</v>
      </c>
      <c r="B9" t="str">
        <f t="shared" si="0"/>
        <v>Макароны отварные</v>
      </c>
      <c r="C9" s="9">
        <v>28</v>
      </c>
      <c r="D9">
        <v>0</v>
      </c>
    </row>
    <row r="10" spans="1:4" ht="15" thickBot="1" x14ac:dyDescent="0.35">
      <c r="A10" s="4" t="s">
        <v>259</v>
      </c>
      <c r="B10" t="str">
        <f t="shared" si="0"/>
        <v xml:space="preserve">Макароны «Мозаика»  </v>
      </c>
      <c r="C10" s="9">
        <v>48</v>
      </c>
      <c r="D10">
        <v>0</v>
      </c>
    </row>
    <row r="11" spans="1:4" ht="15" thickBot="1" x14ac:dyDescent="0.35">
      <c r="A11" s="4" t="s">
        <v>260</v>
      </c>
      <c r="B11" t="str">
        <f t="shared" si="0"/>
        <v>Рис отварной</v>
      </c>
      <c r="C11" s="9">
        <v>27</v>
      </c>
      <c r="D11">
        <v>0</v>
      </c>
    </row>
    <row r="12" spans="1:4" ht="15" thickBot="1" x14ac:dyDescent="0.35">
      <c r="A12" s="4" t="s">
        <v>261</v>
      </c>
      <c r="B12" t="str">
        <f t="shared" si="0"/>
        <v xml:space="preserve">Рис «Весна» </v>
      </c>
      <c r="C12" s="9">
        <v>36</v>
      </c>
      <c r="D12">
        <v>0</v>
      </c>
    </row>
    <row r="13" spans="1:4" ht="15" thickBot="1" x14ac:dyDescent="0.35">
      <c r="A13" s="4" t="s">
        <v>262</v>
      </c>
      <c r="B13" t="str">
        <f t="shared" si="0"/>
        <v>Каша гречневая</v>
      </c>
      <c r="C13" s="9">
        <v>26</v>
      </c>
      <c r="D13">
        <v>0</v>
      </c>
    </row>
    <row r="14" spans="1:4" ht="15" thickBot="1" x14ac:dyDescent="0.35">
      <c r="A14" s="4" t="s">
        <v>263</v>
      </c>
      <c r="B14" t="str">
        <f t="shared" si="0"/>
        <v>Каша гречневая с грибами</v>
      </c>
      <c r="C14" s="9"/>
    </row>
    <row r="15" spans="1:4" ht="15" thickBot="1" x14ac:dyDescent="0.35">
      <c r="A15" s="4" t="s">
        <v>264</v>
      </c>
      <c r="B15" t="str">
        <f t="shared" si="0"/>
        <v>Каша  пшенная</v>
      </c>
      <c r="C15" s="9">
        <v>21</v>
      </c>
      <c r="D15">
        <v>0</v>
      </c>
    </row>
    <row r="16" spans="1:4" ht="15" thickBot="1" x14ac:dyDescent="0.35">
      <c r="A16" s="4" t="s">
        <v>265</v>
      </c>
      <c r="B16" t="str">
        <f t="shared" si="0"/>
        <v>Каша перловая</v>
      </c>
      <c r="C16" s="9">
        <v>17</v>
      </c>
      <c r="D16">
        <v>0</v>
      </c>
    </row>
    <row r="17" spans="1:4" ht="15" thickBot="1" x14ac:dyDescent="0.35">
      <c r="A17" s="4" t="s">
        <v>266</v>
      </c>
      <c r="B17" t="str">
        <f t="shared" si="0"/>
        <v>Каша пшеничная «булгур»</v>
      </c>
      <c r="C17" s="9">
        <v>29</v>
      </c>
      <c r="D17">
        <v>0</v>
      </c>
    </row>
    <row r="18" spans="1:4" ht="15" thickBot="1" x14ac:dyDescent="0.35">
      <c r="A18" s="4" t="s">
        <v>267</v>
      </c>
      <c r="B18" t="str">
        <f t="shared" si="0"/>
        <v>Кабачки тушеные в сметанном соусе</v>
      </c>
      <c r="C18" s="9">
        <v>41</v>
      </c>
      <c r="D1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ХОЛОДНЫЕ ЗАКУСКИ</vt:lpstr>
      <vt:lpstr>ВТОРЫЕ БЛЮДА</vt:lpstr>
      <vt:lpstr>ПЕРВЫЕ  БЛЮДА</vt:lpstr>
      <vt:lpstr>ГАРНИРЫ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Заидов</dc:creator>
  <cp:lastModifiedBy>Руслан Заидов</cp:lastModifiedBy>
  <dcterms:created xsi:type="dcterms:W3CDTF">2015-06-05T18:19:34Z</dcterms:created>
  <dcterms:modified xsi:type="dcterms:W3CDTF">2025-10-27T13:42:43Z</dcterms:modified>
</cp:coreProperties>
</file>